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BackendChecklist" sheetId="3" state="visible" r:id="rId3"/>
    <sheet xmlns:r="http://schemas.openxmlformats.org/officeDocument/2006/relationships" name="Availability" sheetId="4" state="visible" r:id="rId4"/>
    <sheet xmlns:r="http://schemas.openxmlformats.org/officeDocument/2006/relationships" name="ParallelPlan" sheetId="5" state="visible" r:id="rId5"/>
    <sheet xmlns:r="http://schemas.openxmlformats.org/officeDocument/2006/relationships" name="WorkPackages" sheetId="6" state="visible" r:id="rId6"/>
    <sheet xmlns:r="http://schemas.openxmlformats.org/officeDocument/2006/relationships" name="Tasks" sheetId="7" state="visible" r:id="rId7"/>
    <sheet xmlns:r="http://schemas.openxmlformats.org/officeDocument/2006/relationships" name="FR_Matrix" sheetId="8" state="visible" r:id="rId8"/>
    <sheet xmlns:r="http://schemas.openxmlformats.org/officeDocument/2006/relationships" name="UAT" sheetId="9" state="visible" r:id="rId9"/>
    <sheet xmlns:r="http://schemas.openxmlformats.org/officeDocument/2006/relationships" name="FileOwnership" sheetId="10" state="visible" r:id="rId10"/>
    <sheet xmlns:r="http://schemas.openxmlformats.org/officeDocument/2006/relationships" name="Contracts" sheetId="11" state="visible" r:id="rId11"/>
    <sheet xmlns:r="http://schemas.openxmlformats.org/officeDocument/2006/relationships" name="API_Map" sheetId="12" state="visible" r:id="rId12"/>
    <sheet xmlns:r="http://schemas.openxmlformats.org/officeDocument/2006/relationships" name="Discrepancies" sheetId="13" state="visible" r:id="rId13"/>
    <sheet xmlns:r="http://schemas.openxmlformats.org/officeDocument/2006/relationships" name="OpenQuestions" sheetId="14" state="visible" r:id="rId14"/>
    <sheet xmlns:r="http://schemas.openxmlformats.org/officeDocument/2006/relationships" name="Assumptions_Risks" sheetId="15" state="visible" r:id="rId15"/>
    <sheet xmlns:r="http://schemas.openxmlformats.org/officeDocument/2006/relationships" name="ChangeRequests" sheetId="16" state="visible" r:id="rId16"/>
    <sheet xmlns:r="http://schemas.openxmlformats.org/officeDocument/2006/relationships" name="SessionLog" sheetId="17" state="visible" r:id="rId17"/>
    <sheet xmlns:r="http://schemas.openxmlformats.org/officeDocument/2006/relationships" name="Conventions" sheetId="18" state="visible" r:id="rId18"/>
    <sheet xmlns:r="http://schemas.openxmlformats.org/officeDocument/2006/relationships" name="Lists" sheetId="19" state="visible" r:id="rId19"/>
    <sheet xmlns:r="http://schemas.openxmlformats.org/officeDocument/2006/relationships" name="00_Executive_Summary" sheetId="20" state="visible" r:id="rId20"/>
    <sheet xmlns:r="http://schemas.openxmlformats.org/officeDocument/2006/relationships" name="01_FR_Backend_Analysis" sheetId="21" state="visible" r:id="rId21"/>
    <sheet xmlns:r="http://schemas.openxmlformats.org/officeDocument/2006/relationships" name="02_API_Backend_Verification" sheetId="22" state="visible" r:id="rId22"/>
    <sheet xmlns:r="http://schemas.openxmlformats.org/officeDocument/2006/relationships" name="03_OpenQuestions_Answers" sheetId="23" state="visible" r:id="rId23"/>
    <sheet xmlns:r="http://schemas.openxmlformats.org/officeDocument/2006/relationships" name="04_Discrepancies_Verified" sheetId="24" state="visible" r:id="rId24"/>
    <sheet xmlns:r="http://schemas.openxmlformats.org/officeDocument/2006/relationships" name="05_BackendChecklist_Answers" sheetId="25" state="visible" r:id="rId25"/>
    <sheet xmlns:r="http://schemas.openxmlformats.org/officeDocument/2006/relationships" name="06_Backend_Evidence" sheetId="26" state="visible" r:id="rId26"/>
    <sheet xmlns:r="http://schemas.openxmlformats.org/officeDocument/2006/relationships" name="07_Frontend_Action_Plan" sheetId="27" state="visible" r:id="rId27"/>
    <sheet xmlns:r="http://schemas.openxmlformats.org/officeDocument/2006/relationships" name="08_Code_Inventory" sheetId="28" state="visible" r:id="rId28"/>
  </sheets>
  <definedNames>
    <definedName name="_xlnm._FilterDatabase" localSheetId="5" hidden="1">'WorkPackages'!$A$4:$S$24</definedName>
    <definedName name="_xlnm._FilterDatabase" localSheetId="6" hidden="1">'Tasks'!$A$4:$X$133</definedName>
    <definedName name="_xlnm._FilterDatabase" localSheetId="7" hidden="1">'FR_Matrix'!$A$4:$R$41</definedName>
    <definedName name="_xlnm._FilterDatabase" localSheetId="8" hidden="1">'UAT'!$A$4:$K$68</definedName>
    <definedName name="_xlnm._FilterDatabase" localSheetId="9" hidden="1">'FileOwnership'!$A$4:$H$104</definedName>
    <definedName name="_xlnm._FilterDatabase" localSheetId="11" hidden="1">'API_Map'!$A$4:$M$57</definedName>
    <definedName name="_xlnm._FilterDatabase" localSheetId="19" hidden="1">'00_Executive_Summary'!$A$1:$B$12</definedName>
    <definedName name="_xlnm._FilterDatabase" localSheetId="20" hidden="1">'01_FR_Backend_Analysis'!$A$1:$J$38</definedName>
    <definedName name="_xlnm._FilterDatabase" localSheetId="21" hidden="1">'02_API_Backend_Verification'!$A$1:$P$54</definedName>
    <definedName name="_xlnm._FilterDatabase" localSheetId="22" hidden="1">'03_OpenQuestions_Answers'!$A$1:$K$19</definedName>
    <definedName name="_xlnm._FilterDatabase" localSheetId="23" hidden="1">'04_Discrepancies_Verified'!$A$1:$H$18</definedName>
    <definedName name="_xlnm._FilterDatabase" localSheetId="24" hidden="1">'05_BackendChecklist_Answers'!$A$1:$I$15</definedName>
    <definedName name="_xlnm._FilterDatabase" localSheetId="25" hidden="1">'06_Backend_Evidence'!$A$1:$E$25</definedName>
    <definedName name="_xlnm._FilterDatabase" localSheetId="26" hidden="1">'07_Frontend_Action_Plan'!$A$1:$H$38</definedName>
    <definedName name="_xlnm._FilterDatabase" localSheetId="27" hidden="1">'08_Code_Inventory'!$A$1:$B$17</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yyyy\-mm\-dd"/>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b val="1"/>
      <sz val="10"/>
    </font>
    <font>
      <name val="Arial"/>
      <charset val="1"/>
      <family val="0"/>
      <sz val="10"/>
    </font>
    <font>
      <name val="Arial"/>
      <charset val="1"/>
      <family val="0"/>
      <i val="1"/>
      <color rgb="FF595959"/>
      <sz val="9"/>
    </font>
    <font>
      <name val="Arial"/>
      <charset val="1"/>
      <family val="0"/>
      <b val="1"/>
      <color rgb="FFFFFFFF"/>
      <sz val="10"/>
    </font>
    <font>
      <b val="1"/>
      <color rgb="00FFFFFF"/>
    </font>
  </fonts>
  <fills count="9">
    <fill>
      <patternFill/>
    </fill>
    <fill>
      <patternFill patternType="gray125"/>
    </fill>
    <fill>
      <patternFill patternType="solid">
        <fgColor rgb="FFD9E2F3"/>
        <bgColor rgb="FFD9D9D9"/>
      </patternFill>
    </fill>
    <fill>
      <patternFill patternType="solid">
        <fgColor rgb="FFFFF2CC"/>
        <bgColor rgb="FFFFEB9C"/>
      </patternFill>
    </fill>
    <fill>
      <patternFill patternType="solid">
        <fgColor rgb="FFEAF1FB"/>
        <bgColor rgb="FFD9E2F3"/>
      </patternFill>
    </fill>
    <fill>
      <patternFill patternType="solid">
        <fgColor rgb="FF1F3864"/>
        <bgColor rgb="FF333333"/>
      </patternFill>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5" fillId="2" borderId="1" applyAlignment="1" pivotButton="0" quotePrefix="0" xfId="0">
      <alignment horizontal="general" vertical="top" wrapText="1"/>
    </xf>
    <xf numFmtId="0" fontId="7" fillId="0" borderId="0" applyAlignment="1" pivotButton="0" quotePrefix="0" xfId="0">
      <alignment horizontal="general" vertical="bottom"/>
    </xf>
    <xf numFmtId="0" fontId="5" fillId="4" borderId="1"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164" fontId="5" fillId="4" borderId="1" applyAlignment="1" pivotButton="0" quotePrefix="0" xfId="0">
      <alignment horizontal="general" vertical="bottom"/>
    </xf>
    <xf numFmtId="9" fontId="5" fillId="4" borderId="1" applyAlignment="1" pivotButton="0" quotePrefix="0" xfId="0">
      <alignment horizontal="general" vertical="bottom"/>
    </xf>
    <xf numFmtId="0" fontId="5" fillId="4" borderId="1" applyAlignment="1" pivotButton="0" quotePrefix="0" xfId="0">
      <alignment horizontal="general" vertical="bottom"/>
    </xf>
    <xf numFmtId="0" fontId="8" fillId="5" borderId="0" applyAlignment="1" pivotButton="0" quotePrefix="0" xfId="0">
      <alignment horizontal="center" vertical="center" wrapText="1"/>
    </xf>
    <xf numFmtId="9" fontId="6" fillId="0" borderId="1" applyAlignment="1" pivotButton="0" quotePrefix="0" xfId="0">
      <alignment horizontal="general" vertical="top" wrapText="1"/>
    </xf>
    <xf numFmtId="0" fontId="8" fillId="5" borderId="1" applyAlignment="1" pivotButton="0" quotePrefix="0" xfId="0">
      <alignment horizontal="center" vertical="center" wrapText="1"/>
    </xf>
    <xf numFmtId="0" fontId="5" fillId="0" borderId="1" applyAlignment="1" pivotButton="0" quotePrefix="0" xfId="0">
      <alignment horizontal="general" vertical="top" wrapText="1"/>
    </xf>
    <xf numFmtId="165"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5" fillId="0" borderId="0" applyAlignment="1" pivotButton="0" quotePrefix="0" xfId="0">
      <alignment horizontal="general" vertical="bottom"/>
    </xf>
    <xf numFmtId="0" fontId="6" fillId="3"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top" wrapText="1"/>
    </xf>
    <xf numFmtId="9" fontId="6" fillId="4" borderId="1" applyAlignment="1" pivotButton="0" quotePrefix="0" xfId="0">
      <alignment horizontal="general" vertical="top" wrapText="1"/>
    </xf>
    <xf numFmtId="0" fontId="6"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7" fillId="0" borderId="0" applyAlignment="1" pivotButton="0" quotePrefix="0" xfId="0">
      <alignment vertical="top" wrapText="1"/>
    </xf>
    <xf numFmtId="0" fontId="5" fillId="4" borderId="1" applyAlignment="1" pivotButton="0" quotePrefix="0" xfId="0">
      <alignment vertical="top" wrapText="1"/>
    </xf>
    <xf numFmtId="0" fontId="5" fillId="2" borderId="0" applyAlignment="1" pivotButton="0" quotePrefix="0" xfId="0">
      <alignment vertical="top" wrapText="1"/>
    </xf>
    <xf numFmtId="0" fontId="0" fillId="2" borderId="0" applyAlignment="1" pivotButton="0" quotePrefix="0" xfId="0">
      <alignment vertical="top" wrapText="1"/>
    </xf>
    <xf numFmtId="164" fontId="5" fillId="4" borderId="1" applyAlignment="1" pivotButton="0" quotePrefix="0" xfId="0">
      <alignment vertical="top" wrapText="1"/>
    </xf>
    <xf numFmtId="9" fontId="5" fillId="4" borderId="1" applyAlignment="1" pivotButton="0" quotePrefix="0" xfId="0">
      <alignment vertical="top" wrapText="1"/>
    </xf>
    <xf numFmtId="0" fontId="8" fillId="5" borderId="0" applyAlignment="1" pivotButton="0" quotePrefix="0" xfId="0">
      <alignment vertical="top" wrapText="1"/>
    </xf>
    <xf numFmtId="9" fontId="6" fillId="0" borderId="1" applyAlignment="1" pivotButton="0" quotePrefix="0" xfId="0">
      <alignment vertical="top" wrapText="1"/>
    </xf>
    <xf numFmtId="0" fontId="8" fillId="5" borderId="1" applyAlignment="1" pivotButton="0" quotePrefix="0" xfId="0">
      <alignment vertical="top" wrapText="1"/>
    </xf>
    <xf numFmtId="0" fontId="5" fillId="0" borderId="1" applyAlignment="1" pivotButton="0" quotePrefix="0" xfId="0">
      <alignment vertical="top" wrapText="1"/>
    </xf>
    <xf numFmtId="165" fontId="6" fillId="3" borderId="1" applyAlignment="1" pivotButton="0" quotePrefix="0" xfId="0">
      <alignment vertical="top" wrapText="1"/>
    </xf>
    <xf numFmtId="0" fontId="6" fillId="4" borderId="1"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9" fontId="6" fillId="4" borderId="1" applyAlignment="1" pivotButton="0" quotePrefix="0" xfId="0">
      <alignment vertical="top" wrapText="1"/>
    </xf>
    <xf numFmtId="0" fontId="9"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bgColor rgb="FFFFC7CE"/>
        </patternFill>
      </fill>
    </dxf>
    <dxf>
      <fill>
        <patternFill>
          <bgColor rgb="FFC6EFCE"/>
        </patternFill>
      </fill>
    </dxf>
    <dxf>
      <fill>
        <patternFill>
          <bgColor rgb="FFFFEB9C"/>
        </patternFill>
      </fill>
    </dxf>
    <dxf>
      <fill>
        <patternFill>
          <bgColor rgb="FFBDD7EE"/>
        </patternFill>
      </fill>
    </dxf>
    <dxf>
      <fill>
        <patternFill>
          <bgColor rgb="FFD9D9D9"/>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AF1FB"/>
          <bgColor rgb="FF000000"/>
        </patternFill>
      </fill>
    </dxf>
    <dxf>
      <fill>
        <patternFill patternType="solid">
          <fgColor rgb="FFFFEB9C"/>
          <bgColor rgb="FF000000"/>
        </patternFill>
      </fill>
    </dxf>
    <dxf>
      <fill>
        <patternFill patternType="solid">
          <fgColor rgb="FFBDD7EE"/>
          <bgColor rgb="FF000000"/>
        </patternFill>
      </fill>
    </dxf>
    <dxf>
      <fill>
        <patternFill patternType="solid">
          <fgColor rgb="FFFFC7CE"/>
          <bgColor rgb="FF000000"/>
        </patternFill>
      </fill>
    </dxf>
    <dxf>
      <fill>
        <patternFill patternType="solid">
          <fgColor rgb="FFC6EFCE"/>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7F6000"/>
      <rgbColor rgb="FF800080"/>
      <rgbColor rgb="FF00B050"/>
      <rgbColor rgb="FFBFBFBF"/>
      <rgbColor rgb="FF808080"/>
      <rgbColor rgb="FF9999FF"/>
      <rgbColor rgb="FF7030A0"/>
      <rgbColor rgb="FFFFF2CC"/>
      <rgbColor rgb="FFEAF1FB"/>
      <rgbColor rgb="FF660066"/>
      <rgbColor rgb="FFFF8080"/>
      <rgbColor rgb="FF0066CC"/>
      <rgbColor rgb="FFBDD7EE"/>
      <rgbColor rgb="FF000080"/>
      <rgbColor rgb="FFFF00FF"/>
      <rgbColor rgb="FFFFFF00"/>
      <rgbColor rgb="FF00FFFF"/>
      <rgbColor rgb="FF800080"/>
      <rgbColor rgb="FF800000"/>
      <rgbColor rgb="FF008080"/>
      <rgbColor rgb="FF0000FF"/>
      <rgbColor rgb="FF00B0F0"/>
      <rgbColor rgb="FFD9E2F3"/>
      <rgbColor rgb="FFC6EFCE"/>
      <rgbColor rgb="FFFFEB9C"/>
      <rgbColor rgb="FFD9D9D9"/>
      <rgbColor rgb="FFFF99CC"/>
      <rgbColor rgb="FFCC99FF"/>
      <rgbColor rgb="FFFFC7CE"/>
      <rgbColor rgb="FF2E75B6"/>
      <rgbColor rgb="FF33CCCC"/>
      <rgbColor rgb="FF70AD47"/>
      <rgbColor rgb="FFFFC000"/>
      <rgbColor rgb="FFFF9900"/>
      <rgbColor rgb="FFED7D31"/>
      <rgbColor rgb="FF595959"/>
      <rgbColor rgb="FF7F7F7F"/>
      <rgbColor rgb="FF1F3864"/>
      <rgbColor rgb="FF548235"/>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B15"/>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5" min="1" max="1"/>
    <col width="120" customWidth="1" style="25" min="2" max="2"/>
  </cols>
  <sheetData>
    <row r="1" ht="42" customHeight="1" s="26">
      <c r="A1" s="27" t="inlineStr">
        <is>
          <t>ملف تتبّع إكمال الفرونت — Academia</t>
        </is>
      </c>
      <c r="B1" s="28" t="n"/>
    </row>
    <row r="2" ht="42" customHeight="1" s="26">
      <c r="A2" s="28" t="n"/>
      <c r="B2" s="28" t="n"/>
    </row>
    <row r="3" ht="42" customHeight="1" s="26">
      <c r="A3" s="29" t="inlineStr">
        <is>
          <t>الإصدار</t>
        </is>
      </c>
      <c r="B3" s="30" t="inlineStr">
        <is>
          <t>v1.7</t>
        </is>
      </c>
    </row>
    <row r="4" ht="42" customHeight="1" s="26">
      <c r="A4" s="29" t="inlineStr">
        <is>
          <t>آخر تحديث</t>
        </is>
      </c>
      <c r="B4" s="30" t="inlineStr">
        <is>
          <t>2026-10-01</t>
        </is>
      </c>
    </row>
    <row r="5" ht="42" customHeight="1" s="26">
      <c r="A5" s="29" t="inlineStr">
        <is>
          <t>الكاتب الوحيد للملف</t>
        </is>
      </c>
      <c r="B5" s="31" t="inlineStr">
        <is>
          <t>المنسّق (جلسة التتبع). الجلسات المتوازية لا تعدّل هذا الملف — ترسل تقريرًا بالصيغة أدناه.</t>
        </is>
      </c>
    </row>
    <row r="6" ht="42" customHeight="1" s="26">
      <c r="A6" s="28" t="n"/>
      <c r="B6" s="28" t="n"/>
    </row>
    <row r="7" ht="42" customHeight="1" s="26">
      <c r="A7" s="29" t="inlineStr">
        <is>
          <t>الهدف</t>
        </is>
      </c>
      <c r="B7" s="31" t="inlineStr">
        <is>
          <t>إكمال الـ19 متطلبًا (13 غير جاهز + 6 جزئي) من تقرير جاهزية الفرونت بالاعتماد على Swagger الحالي وSRS، مع 7 FRs داعمة لازمة لاكتمال المسارات، بدون تعارض بين عدة جلسات تعمل بالتوازي. هذا الملف خطة وتتبّع فقط — لم تُكتب أي أسطر كود بعد.</t>
        </is>
      </c>
    </row>
    <row r="8" ht="42" customHeight="1" s="26">
      <c r="A8" s="29" t="inlineStr">
        <is>
          <t>المصادر المعتمدة</t>
        </is>
      </c>
      <c r="B8" s="31" t="inlineStr">
        <is>
          <t>Swagger_UI.pdf (تاريخ 2026-09-22) · SRS_1__updated_.docx · Frontend_Readiness_Audit_Report.pdf · Frontend.zip (الكود). ملفات md/docs القديمة بالمشروع غير معتمدة.</t>
        </is>
      </c>
    </row>
    <row r="9" ht="42" customHeight="1" s="26">
      <c r="A9" s="29" t="inlineStr">
        <is>
          <t>خريطة الأوراق</t>
        </is>
      </c>
      <c r="B9" s="31" t="inlineStr">
        <is>
          <t>Dashboard: ملخص محسوب · BackendChecklist: كل ما نحتاجه من الباك اند + هل وصل · Availability: حجم كل WP + ما يمكن بدؤه الآن + JSON · ParallelPlan: التوازي والدمج · WorkPackages: 20 حزمة (WP-00 + WP-J + 17 + QA) · Tasks: المصدر الوحيد للحالة · FR_Matrix: تتبّع كل FR · UAT: معايير القبول · FileOwnership: مالك كل ملف + كشف التعارض · Contracts: واجهات المكونات + مفاتيح الكاش · API_Map: كل endpoint ↔ الكود · Discrepancies: فروقات Swagger/الكود · OpenQuestions: أسئلة وافتراضات افتراضية · Assumptions_Risks · ChangeRequests · SessionLog · Conventions · Lists</t>
        </is>
      </c>
    </row>
    <row r="10" ht="42" customHeight="1" s="26">
      <c r="A10" s="29" t="inlineStr">
        <is>
          <t>ألوان الخلايا</t>
        </is>
      </c>
      <c r="B10" s="31" t="inlineStr">
        <is>
          <t>أصفر فاتح = إدخال يدوي · أزرق فاتح = صيغة (لا تعدّلها) · أبيض = خطة ثابتة (لا تغيّر إلا بقرار المنسّق)</t>
        </is>
      </c>
    </row>
    <row r="11" ht="42" customHeight="1" s="26">
      <c r="A11" s="29" t="inlineStr">
        <is>
          <t>حالات المهام</t>
        </is>
      </c>
      <c r="B11" s="31" t="inlineStr">
        <is>
          <t>لم يبدأ · قيد التنفيذ · قيد المراجعة · متوقف · مكتمل · مؤجل. «مكتمل» لا تُعتمد إلا بعد تشغيل npm run validate محليًا (البيئة هنا بلا شبكة).</t>
        </is>
      </c>
    </row>
    <row r="12" ht="42" customHeight="1" s="26">
      <c r="A12" s="29" t="inlineStr">
        <is>
          <t>بروتوكول التحديث</t>
        </is>
      </c>
      <c r="B12" s="31" t="inlineStr">
        <is>
          <t>1) الجلسة تنفّذ WP واحدًا فقط. 2) تنتهي بتقرير نهاية الجلسة (أدناه). 3) المنسّق يلصق التقارير ويطلب «حدّث التتبع» ← يُحدَّث الملف دفعة واحدة، تُرفع النسخة، ويُضاف صف بـ SessionLog.</t>
        </is>
      </c>
    </row>
    <row r="13" ht="42" customHeight="1" s="26">
      <c r="A13" s="29" t="inlineStr">
        <is>
          <t>قالب بداية جلسة</t>
        </is>
      </c>
      <c r="B13" s="31" t="inlineStr">
        <is>
          <t>قالب بداية جلسة:
«نفّذ WP-xx فقط من ملف التتبع (النسخة vN). اقرأ: WorkPackages + Tasks (مهام WP-xx) + FileOwnership + Contracts + Conventions. لا تعدّل أي ملف ليس مملوكًا لـ WP-xx. المصادر المعتمدة: Swagger + SRS + تقرير الجاهزية. لا تعتمد على ملفات docs القديمة. عند الانتهاء أعطني تقرير الجلسة بصيغة SessionLog.»</t>
        </is>
      </c>
    </row>
    <row r="14" ht="42" customHeight="1" s="26">
      <c r="A14" s="29" t="inlineStr">
        <is>
          <t>قالب نهاية جلسة</t>
        </is>
      </c>
      <c r="B14" s="31" t="inlineStr">
        <is>
          <t>قالب تقرير نهاية جلسة (يُنسخ كما هو):
WP: ... | الجلسة: ... | التاريخ: ...
المهام: [ID: الحالة] ... (مكتمل/قيد التنفيذ/متوقف + سبب)
الملفات المعدّلة: ...
نتيجة npm run validate: ...
افتراضات جديدة / أسئلة مفتوحة: ...
طلبات تغيير (CR): ...
الخطوة التالية: ...</t>
        </is>
      </c>
    </row>
    <row r="15" ht="42" customHeight="1" s="26">
      <c r="A15" s="29" t="inlineStr">
        <is>
          <t>قبل أي كود</t>
        </is>
      </c>
      <c r="B15" s="31" t="inlineStr">
        <is>
          <t>WP-00 أولًا. وقبله: الإجابة على الأسئلة الحاجبة (OpenQuestions) ولصق عينات JSON (API_Map: عمود «عينة مطلوبة»).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0B050"/>
    <outlinePr summaryBelow="1" summaryRight="1"/>
    <pageSetUpPr fitToPage="0"/>
  </sheetPr>
  <dimension ref="A1:G7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5" min="1" max="1"/>
    <col width="36" customWidth="1" style="25" min="2" max="2"/>
    <col width="18" customWidth="1" style="25" min="3" max="7"/>
  </cols>
  <sheetData>
    <row r="1" ht="42" customHeight="1" s="26">
      <c r="A1" s="27" t="inlineStr">
        <is>
          <t>لوحة المتابعة (Dashboard)</t>
        </is>
      </c>
      <c r="B1" s="28" t="n"/>
      <c r="C1" s="28" t="n"/>
      <c r="D1" s="28" t="n"/>
      <c r="E1" s="28" t="n"/>
      <c r="F1" s="28" t="n"/>
      <c r="G1" s="28" t="n"/>
    </row>
    <row r="2" ht="42" customHeight="1" s="26">
      <c r="A2" s="32" t="inlineStr">
        <is>
          <t>كل الأرقام محسوبة تلقائيًا من الأوراق الأخرى. لا تحرّرها يدويًا.</t>
        </is>
      </c>
      <c r="B2" s="28" t="n"/>
      <c r="C2" s="28" t="n"/>
      <c r="D2" s="28" t="n"/>
      <c r="E2" s="28" t="n"/>
      <c r="F2" s="28" t="n"/>
      <c r="G2" s="28" t="n"/>
    </row>
    <row r="3" ht="42" customHeight="1" s="26">
      <c r="A3" s="31" t="inlineStr">
        <is>
          <t>نسخة التتبع</t>
        </is>
      </c>
      <c r="B3" s="33">
        <f>README!B3</f>
        <v/>
      </c>
      <c r="C3" s="28" t="n"/>
      <c r="D3" s="28" t="n"/>
      <c r="E3" s="28" t="n"/>
      <c r="F3" s="28" t="n"/>
      <c r="G3" s="28" t="n"/>
    </row>
    <row r="4" ht="42" customHeight="1" s="26">
      <c r="A4" s="31" t="inlineStr">
        <is>
          <t>آخر تحديث</t>
        </is>
      </c>
      <c r="B4" s="33">
        <f>README!B4</f>
        <v/>
      </c>
      <c r="C4" s="28" t="n"/>
      <c r="D4" s="28" t="n"/>
      <c r="E4" s="28" t="n"/>
      <c r="F4" s="28" t="n"/>
      <c r="G4" s="28" t="n"/>
    </row>
    <row r="5" ht="42" customHeight="1" s="26">
      <c r="A5" s="28" t="n"/>
      <c r="B5" s="28" t="n"/>
      <c r="C5" s="28" t="n"/>
      <c r="D5" s="28" t="n"/>
      <c r="E5" s="28" t="n"/>
      <c r="F5" s="28" t="n"/>
      <c r="G5" s="28" t="n"/>
    </row>
    <row r="6" ht="42" customHeight="1" s="26">
      <c r="A6" s="34" t="inlineStr">
        <is>
          <t>1) تقدّم المهام</t>
        </is>
      </c>
      <c r="B6" s="35" t="n"/>
      <c r="C6" s="35" t="n"/>
      <c r="D6" s="35" t="n"/>
      <c r="E6" s="35" t="n"/>
      <c r="F6" s="35" t="n"/>
      <c r="G6" s="35" t="n"/>
    </row>
    <row r="7" ht="42" customHeight="1" s="26">
      <c r="A7" s="31" t="inlineStr">
        <is>
          <t>إجمالي المهام</t>
        </is>
      </c>
      <c r="B7" s="33">
        <f>COUNTA(Tasks!$A$5:$A$300)</f>
        <v/>
      </c>
      <c r="C7" s="28" t="n"/>
      <c r="D7" s="28" t="n"/>
      <c r="E7" s="28" t="n"/>
      <c r="F7" s="28" t="n"/>
      <c r="G7" s="28" t="n"/>
    </row>
    <row r="8" ht="42" customHeight="1" s="26">
      <c r="A8" s="31" t="inlineStr">
        <is>
          <t>مكتمل</t>
        </is>
      </c>
      <c r="B8" s="33">
        <f>COUNTIF(Tasks!$M$5:$M$300,"مكتمل")</f>
        <v/>
      </c>
      <c r="C8" s="28" t="n"/>
      <c r="D8" s="28" t="n"/>
      <c r="E8" s="28" t="n"/>
      <c r="F8" s="28" t="n"/>
      <c r="G8" s="28" t="n"/>
    </row>
    <row r="9" ht="42" customHeight="1" s="26">
      <c r="A9" s="31" t="inlineStr">
        <is>
          <t>قيد التنفيذ</t>
        </is>
      </c>
      <c r="B9" s="33">
        <f>COUNTIF(Tasks!$M$5:$M$300,"قيد التنفيذ")</f>
        <v/>
      </c>
      <c r="C9" s="28" t="n"/>
      <c r="D9" s="28" t="n"/>
      <c r="E9" s="28" t="n"/>
      <c r="F9" s="28" t="n"/>
      <c r="G9" s="28" t="n"/>
    </row>
    <row r="10" ht="42" customHeight="1" s="26">
      <c r="A10" s="31" t="inlineStr">
        <is>
          <t>قيد المراجعة</t>
        </is>
      </c>
      <c r="B10" s="33">
        <f>COUNTIF(Tasks!$M$5:$M$300,"قيد المراجعة")</f>
        <v/>
      </c>
      <c r="C10" s="28" t="n"/>
      <c r="D10" s="28" t="n"/>
      <c r="E10" s="28" t="n"/>
      <c r="F10" s="28" t="n"/>
      <c r="G10" s="28" t="n"/>
    </row>
    <row r="11" ht="42" customHeight="1" s="26">
      <c r="A11" s="31" t="inlineStr">
        <is>
          <t>متوقف</t>
        </is>
      </c>
      <c r="B11" s="33">
        <f>COUNTIF(Tasks!$M$5:$M$300,"متوقف")</f>
        <v/>
      </c>
      <c r="C11" s="28" t="n"/>
      <c r="D11" s="28" t="n"/>
      <c r="E11" s="28" t="n"/>
      <c r="F11" s="28" t="n"/>
      <c r="G11" s="28" t="n"/>
    </row>
    <row r="12" ht="42" customHeight="1" s="26">
      <c r="A12" s="31" t="inlineStr">
        <is>
          <t>لم يبدأ</t>
        </is>
      </c>
      <c r="B12" s="33">
        <f>COUNTIF(Tasks!$M$5:$M$300,"لم يبدأ")</f>
        <v/>
      </c>
      <c r="C12" s="28" t="n"/>
      <c r="D12" s="28" t="n"/>
      <c r="E12" s="28" t="n"/>
      <c r="F12" s="28" t="n"/>
      <c r="G12" s="28" t="n"/>
    </row>
    <row r="13" ht="42" customHeight="1" s="26">
      <c r="A13" s="31" t="inlineStr">
        <is>
          <t>مؤجل</t>
        </is>
      </c>
      <c r="B13" s="33">
        <f>COUNTIF(Tasks!$M$5:$M$300,"مؤجل")</f>
        <v/>
      </c>
      <c r="C13" s="28" t="n"/>
      <c r="D13" s="28" t="n"/>
      <c r="E13" s="28" t="n"/>
      <c r="F13" s="28" t="n"/>
      <c r="G13" s="28" t="n"/>
    </row>
    <row r="14" ht="42" customHeight="1" s="26">
      <c r="A14" s="31" t="inlineStr">
        <is>
          <t>نسبة الإنجاز الكلية</t>
        </is>
      </c>
      <c r="B14" s="36">
        <f>IF(B7=0,0,B8/B7)</f>
        <v/>
      </c>
      <c r="C14" s="28" t="n"/>
      <c r="D14" s="28" t="n"/>
      <c r="E14" s="28" t="n"/>
      <c r="F14" s="28" t="n"/>
      <c r="G14" s="28" t="n"/>
    </row>
    <row r="15" ht="42" customHeight="1" s="26">
      <c r="A15" s="31" t="inlineStr">
        <is>
          <t>إنجاز Wave 0</t>
        </is>
      </c>
      <c r="B15" s="37">
        <f>IF(COUNTIF(Tasks!$C$5:$C$300,"Wave 0")=0,0,COUNTIFS(Tasks!$C$5:$C$300,"Wave 0",Tasks!$M$5:$M$300,"مكتمل")/COUNTIF(Tasks!$C$5:$C$300,"Wave 0"))</f>
        <v/>
      </c>
      <c r="C15" s="28" t="n"/>
      <c r="D15" s="28" t="n"/>
      <c r="E15" s="28" t="n"/>
      <c r="F15" s="28" t="n"/>
      <c r="G15" s="28" t="n"/>
    </row>
    <row r="16" ht="42" customHeight="1" s="26">
      <c r="A16" s="31" t="inlineStr">
        <is>
          <t>إنجاز Wave 1</t>
        </is>
      </c>
      <c r="B16" s="37">
        <f>IF(COUNTIF(Tasks!$C$5:$C$300,"Wave 1")=0,0,COUNTIFS(Tasks!$C$5:$C$300,"Wave 1",Tasks!$M$5:$M$300,"مكتمل")/COUNTIF(Tasks!$C$5:$C$300,"Wave 1"))</f>
        <v/>
      </c>
      <c r="C16" s="28" t="n"/>
      <c r="D16" s="28" t="n"/>
      <c r="E16" s="28" t="n"/>
      <c r="F16" s="28" t="n"/>
      <c r="G16" s="28" t="n"/>
    </row>
    <row r="17" ht="42" customHeight="1" s="26">
      <c r="A17" s="31" t="inlineStr">
        <is>
          <t>إنجاز Wave 2</t>
        </is>
      </c>
      <c r="B17" s="37">
        <f>IF(COUNTIF(Tasks!$C$5:$C$300,"Wave 2")=0,0,COUNTIFS(Tasks!$C$5:$C$300,"Wave 2",Tasks!$M$5:$M$300,"مكتمل")/COUNTIF(Tasks!$C$5:$C$300,"Wave 2"))</f>
        <v/>
      </c>
      <c r="C17" s="28" t="n"/>
      <c r="D17" s="28" t="n"/>
      <c r="E17" s="28" t="n"/>
      <c r="F17" s="28" t="n"/>
      <c r="G17" s="28" t="n"/>
    </row>
    <row r="18" ht="42" customHeight="1" s="26">
      <c r="A18" s="28" t="n"/>
      <c r="B18" s="28" t="n"/>
      <c r="C18" s="28" t="n"/>
      <c r="D18" s="28" t="n"/>
      <c r="E18" s="28" t="n"/>
      <c r="F18" s="28" t="n"/>
      <c r="G18" s="28" t="n"/>
    </row>
    <row r="19" ht="42" customHeight="1" s="26">
      <c r="A19" s="34" t="inlineStr">
        <is>
          <t>2) جاهزية الفرونت مقابل الـ30 FR في التقرير</t>
        </is>
      </c>
      <c r="B19" s="35" t="n"/>
      <c r="C19" s="35" t="n"/>
      <c r="D19" s="35" t="n"/>
      <c r="E19" s="35" t="n"/>
      <c r="F19" s="35" t="n"/>
      <c r="G19" s="35" t="n"/>
    </row>
    <row r="20" ht="42" customHeight="1" s="26">
      <c r="A20" s="31" t="inlineStr">
        <is>
          <t>إجمالي FRs ضمن التقرير</t>
        </is>
      </c>
      <c r="B20" s="33">
        <f>COUNTIF(FR_Matrix!$I$5:$I$60,"نعم")</f>
        <v/>
      </c>
      <c r="C20" s="28" t="n"/>
      <c r="D20" s="28" t="n"/>
      <c r="E20" s="28" t="n"/>
      <c r="F20" s="28" t="n"/>
      <c r="G20" s="28" t="n"/>
    </row>
    <row r="21" ht="42" customHeight="1" s="26">
      <c r="A21" s="31" t="inlineStr">
        <is>
          <t>الأساس: جاهز بالتقرير</t>
        </is>
      </c>
      <c r="B21" s="33">
        <f>COUNTIFS(FR_Matrix!$I$5:$I$60,"نعم",FR_Matrix!$G$5:$G$60,"جاهز")</f>
        <v/>
      </c>
      <c r="C21" s="28" t="n"/>
      <c r="D21" s="28" t="n"/>
      <c r="E21" s="28" t="n"/>
      <c r="F21" s="28" t="n"/>
      <c r="G21" s="28" t="n"/>
    </row>
    <row r="22" ht="42" customHeight="1" s="26">
      <c r="A22" s="31" t="inlineStr">
        <is>
          <t>الأساس: جزئي</t>
        </is>
      </c>
      <c r="B22" s="33">
        <f>COUNTIFS(FR_Matrix!$I$5:$I$60,"نعم",FR_Matrix!$G$5:$G$60,"جزئي")</f>
        <v/>
      </c>
      <c r="C22" s="28" t="n"/>
      <c r="D22" s="28" t="n"/>
      <c r="E22" s="28" t="n"/>
      <c r="F22" s="28" t="n"/>
      <c r="G22" s="28" t="n"/>
    </row>
    <row r="23" ht="42" customHeight="1" s="26">
      <c r="A23" s="31" t="inlineStr">
        <is>
          <t>الأساس: غير جاهز</t>
        </is>
      </c>
      <c r="B23" s="33">
        <f>COUNTIFS(FR_Matrix!$I$5:$I$60,"نعم",FR_Matrix!$G$5:$G$60,"غير جاهز")</f>
        <v/>
      </c>
      <c r="C23" s="28" t="n"/>
      <c r="D23" s="28" t="n"/>
      <c r="E23" s="28" t="n"/>
      <c r="F23" s="28" t="n"/>
      <c r="G23" s="28" t="n"/>
    </row>
    <row r="24" ht="42" customHeight="1" s="26">
      <c r="A24" s="31" t="inlineStr">
        <is>
          <t>نسبة الجاهزية الأساسية</t>
        </is>
      </c>
      <c r="B24" s="36">
        <f>IF(B20=0,0,B21/B20)</f>
        <v/>
      </c>
      <c r="C24" s="28" t="n"/>
      <c r="D24" s="28" t="n"/>
      <c r="E24" s="28" t="n"/>
      <c r="F24" s="28" t="n"/>
      <c r="G24" s="28" t="n"/>
    </row>
    <row r="25" ht="42" customHeight="1" s="26">
      <c r="A25" s="31" t="inlineStr">
        <is>
          <t>الآن: جاهز (أصلي + أُنجز وتم قبوله)</t>
        </is>
      </c>
      <c r="B25" s="33">
        <f>COUNTIFS(FR_Matrix!$I$5:$I$60,"نعم",FR_Matrix!$Q$5:$Q$60,"جاهز (أصلي)")+COUNTIFS(FR_Matrix!$I$5:$I$60,"نعم",FR_Matrix!$Q$5:$Q$60,"جاهز")</f>
        <v/>
      </c>
      <c r="C25" s="28" t="n"/>
      <c r="D25" s="28" t="n"/>
      <c r="E25" s="28" t="n"/>
      <c r="F25" s="28" t="n"/>
      <c r="G25" s="28" t="n"/>
    </row>
    <row r="26" ht="42" customHeight="1" s="26">
      <c r="A26" s="31" t="inlineStr">
        <is>
          <t>الآن: مكتمل – بانتظار UAT</t>
        </is>
      </c>
      <c r="B26" s="33">
        <f>COUNTIFS(FR_Matrix!$I$5:$I$60,"نعم",FR_Matrix!$Q$5:$Q$60,"مكتمل – بانتظار UAT")</f>
        <v/>
      </c>
      <c r="C26" s="28" t="n"/>
      <c r="D26" s="28" t="n"/>
      <c r="E26" s="28" t="n"/>
      <c r="F26" s="28" t="n"/>
      <c r="G26" s="28" t="n"/>
    </row>
    <row r="27" ht="42" customHeight="1" s="26">
      <c r="A27" s="31" t="inlineStr">
        <is>
          <t>الآن: قيد التنفيذ</t>
        </is>
      </c>
      <c r="B27" s="33">
        <f>COUNTIFS(FR_Matrix!$I$5:$I$60,"نعم",FR_Matrix!$Q$5:$Q$60,"قيد التنفيذ")</f>
        <v/>
      </c>
      <c r="C27" s="28" t="n"/>
      <c r="D27" s="28" t="n"/>
      <c r="E27" s="28" t="n"/>
      <c r="F27" s="28" t="n"/>
      <c r="G27" s="28" t="n"/>
    </row>
    <row r="28" ht="42" customHeight="1" s="26">
      <c r="A28" s="31" t="inlineStr">
        <is>
          <t>الآن: لم يبدأ</t>
        </is>
      </c>
      <c r="B28" s="33">
        <f>COUNTIFS(FR_Matrix!$I$5:$I$60,"نعم",FR_Matrix!$Q$5:$Q$60,"لم يبدأ")</f>
        <v/>
      </c>
      <c r="C28" s="28" t="n"/>
      <c r="D28" s="28" t="n"/>
      <c r="E28" s="28" t="n"/>
      <c r="F28" s="28" t="n"/>
      <c r="G28" s="28" t="n"/>
    </row>
    <row r="29" ht="42" customHeight="1" s="26">
      <c r="A29" s="31" t="inlineStr">
        <is>
          <t>نسبة الجاهزية الحالية</t>
        </is>
      </c>
      <c r="B29" s="36">
        <f>IF(B20=0,0,B25/B20)</f>
        <v/>
      </c>
      <c r="C29" s="28" t="n"/>
      <c r="D29" s="28" t="n"/>
      <c r="E29" s="28" t="n"/>
      <c r="F29" s="28" t="n"/>
      <c r="G29" s="28" t="n"/>
    </row>
    <row r="30" ht="42" customHeight="1" s="26">
      <c r="A30" s="31" t="inlineStr">
        <is>
          <t>الهدف</t>
        </is>
      </c>
      <c r="B30" s="37" t="n">
        <v>1</v>
      </c>
      <c r="C30" s="28" t="n"/>
      <c r="D30" s="28" t="n"/>
      <c r="E30" s="28" t="n"/>
      <c r="F30" s="28" t="n"/>
      <c r="G30" s="28" t="n"/>
    </row>
    <row r="31" ht="42" customHeight="1" s="26">
      <c r="A31" s="28" t="n"/>
      <c r="B31" s="28" t="n"/>
      <c r="C31" s="28" t="n"/>
      <c r="D31" s="28" t="n"/>
      <c r="E31" s="28" t="n"/>
      <c r="F31" s="28" t="n"/>
      <c r="G31" s="28" t="n"/>
    </row>
    <row r="32" ht="42" customHeight="1" s="26">
      <c r="A32" s="34" t="inlineStr">
        <is>
          <t>3) اختبارات القبول (UAT)</t>
        </is>
      </c>
      <c r="B32" s="35" t="n"/>
      <c r="C32" s="35" t="n"/>
      <c r="D32" s="35" t="n"/>
      <c r="E32" s="35" t="n"/>
      <c r="F32" s="35" t="n"/>
      <c r="G32" s="35" t="n"/>
    </row>
    <row r="33" ht="42" customHeight="1" s="26">
      <c r="A33" s="31" t="inlineStr">
        <is>
          <t>إجمالي بنود UAT</t>
        </is>
      </c>
      <c r="B33" s="33">
        <f>COUNTA(UAT!$A$5:$A$300)</f>
        <v/>
      </c>
      <c r="C33" s="28" t="n"/>
      <c r="D33" s="28" t="n"/>
      <c r="E33" s="28" t="n"/>
      <c r="F33" s="28" t="n"/>
      <c r="G33" s="28" t="n"/>
    </row>
    <row r="34" ht="42" customHeight="1" s="26">
      <c r="A34" s="31" t="inlineStr">
        <is>
          <t>نجح</t>
        </is>
      </c>
      <c r="B34" s="33">
        <f>COUNTIF(UAT!$H$5:$H$300,"نجح")</f>
        <v/>
      </c>
      <c r="C34" s="28" t="n"/>
      <c r="D34" s="28" t="n"/>
      <c r="E34" s="28" t="n"/>
      <c r="F34" s="28" t="n"/>
      <c r="G34" s="28" t="n"/>
    </row>
    <row r="35" ht="42" customHeight="1" s="26">
      <c r="A35" s="31" t="inlineStr">
        <is>
          <t>فشل</t>
        </is>
      </c>
      <c r="B35" s="33">
        <f>COUNTIF(UAT!$H$5:$H$300,"فشل")</f>
        <v/>
      </c>
      <c r="C35" s="28" t="n"/>
      <c r="D35" s="28" t="n"/>
      <c r="E35" s="28" t="n"/>
      <c r="F35" s="28" t="n"/>
      <c r="G35" s="28" t="n"/>
    </row>
    <row r="36" ht="42" customHeight="1" s="26">
      <c r="A36" s="31" t="inlineStr">
        <is>
          <t>لم يُختبر</t>
        </is>
      </c>
      <c r="B36" s="33">
        <f>COUNTIF(UAT!$H$5:$H$300,"لم يُختبر")</f>
        <v/>
      </c>
      <c r="C36" s="28" t="n"/>
      <c r="D36" s="28" t="n"/>
      <c r="E36" s="28" t="n"/>
      <c r="F36" s="28" t="n"/>
      <c r="G36" s="28" t="n"/>
    </row>
    <row r="37" ht="42" customHeight="1" s="26">
      <c r="A37" s="31" t="inlineStr">
        <is>
          <t>نسبة النجاح</t>
        </is>
      </c>
      <c r="B37" s="36">
        <f>IF(B33=0,0,B34/B33)</f>
        <v/>
      </c>
      <c r="C37" s="28" t="n"/>
      <c r="D37" s="28" t="n"/>
      <c r="E37" s="28" t="n"/>
      <c r="F37" s="28" t="n"/>
      <c r="G37" s="28" t="n"/>
    </row>
    <row r="38" ht="42" customHeight="1" s="26">
      <c r="A38" s="28" t="n"/>
      <c r="B38" s="28" t="n"/>
      <c r="C38" s="28" t="n"/>
      <c r="D38" s="28" t="n"/>
      <c r="E38" s="28" t="n"/>
      <c r="F38" s="28" t="n"/>
      <c r="G38" s="28" t="n"/>
    </row>
    <row r="39" ht="42" customHeight="1" s="26">
      <c r="A39" s="34" t="inlineStr">
        <is>
          <t>4) مخاطر التوازي والعوائق</t>
        </is>
      </c>
      <c r="B39" s="35" t="n"/>
      <c r="C39" s="35" t="n"/>
      <c r="D39" s="35" t="n"/>
      <c r="E39" s="35" t="n"/>
      <c r="F39" s="35" t="n"/>
      <c r="G39" s="35" t="n"/>
    </row>
    <row r="40" ht="42" customHeight="1" s="26">
      <c r="A40" s="31" t="inlineStr">
        <is>
          <t>أسئلة حاجبة مفتوحة</t>
        </is>
      </c>
      <c r="B40" s="33">
        <f>COUNTIFS(OpenQuestions!$E$5:$E$60,"حاجب",OpenQuestions!$H$5:$H$60,"مفتوح")</f>
        <v/>
      </c>
      <c r="C40" s="28" t="n"/>
      <c r="D40" s="28" t="n"/>
      <c r="E40" s="28" t="n"/>
      <c r="F40" s="28" t="n"/>
      <c r="G40" s="28" t="n"/>
    </row>
    <row r="41" ht="42" customHeight="1" s="26">
      <c r="A41" s="31" t="inlineStr">
        <is>
          <t>كل الأسئلة المفتوحة</t>
        </is>
      </c>
      <c r="B41" s="33">
        <f>COUNTIF(OpenQuestions!$H$5:$H$60,"مفتوح")</f>
        <v/>
      </c>
      <c r="C41" s="28" t="n"/>
      <c r="D41" s="28" t="n"/>
      <c r="E41" s="28" t="n"/>
      <c r="F41" s="28" t="n"/>
      <c r="G41" s="28" t="n"/>
    </row>
    <row r="42" ht="42" customHeight="1" s="26">
      <c r="A42" s="31" t="inlineStr">
        <is>
          <t>فروقات Swagger مفتوحة</t>
        </is>
      </c>
      <c r="B42" s="33">
        <f>COUNTIF(Discrepancies!$G$5:$G$60,"مفتوح")</f>
        <v/>
      </c>
      <c r="C42" s="28" t="n"/>
      <c r="D42" s="28" t="n"/>
      <c r="E42" s="28" t="n"/>
      <c r="F42" s="28" t="n"/>
      <c r="G42" s="28" t="n"/>
    </row>
    <row r="43" ht="42" customHeight="1" s="26">
      <c r="A43" s="31" t="inlineStr">
        <is>
          <t>مهام متوقفة</t>
        </is>
      </c>
      <c r="B43" s="33">
        <f>COUNTIF(Tasks!$M$5:$M$300,"متوقف")</f>
        <v/>
      </c>
      <c r="C43" s="28" t="n"/>
      <c r="D43" s="28" t="n"/>
      <c r="E43" s="28" t="n"/>
      <c r="F43" s="28" t="n"/>
      <c r="G43" s="28" t="n"/>
    </row>
    <row r="44" ht="42" customHeight="1" s="26">
      <c r="A44" s="31" t="inlineStr">
        <is>
          <t>طلبات تغيير (CR) مفتوحة</t>
        </is>
      </c>
      <c r="B44" s="33">
        <f>COUNTIF(ChangeRequests!$G$6:$G$40,"مفتوح")</f>
        <v/>
      </c>
      <c r="C44" s="28" t="n"/>
      <c r="D44" s="28" t="n"/>
      <c r="E44" s="28" t="n"/>
      <c r="F44" s="28" t="n"/>
      <c r="G44" s="28" t="n"/>
    </row>
    <row r="45" ht="42" customHeight="1" s="26">
      <c r="A45" s="31" t="inlineStr">
        <is>
          <t>ملفات بمالكين مكرّرين (يجب 0)</t>
        </is>
      </c>
      <c r="B45" s="33">
        <f>COUNTIF(FileOwnership!$G$5:$G$300,"⚠ مكرر")</f>
        <v/>
      </c>
      <c r="C45" s="28" t="n"/>
      <c r="D45" s="28" t="n"/>
      <c r="E45" s="28" t="n"/>
      <c r="F45" s="28" t="n"/>
      <c r="G45" s="28" t="n"/>
    </row>
    <row r="46" ht="42" customHeight="1" s="26">
      <c r="A46" s="31" t="inlineStr">
        <is>
          <t>عينات JSON مطلوبة ولم تصل</t>
        </is>
      </c>
      <c r="B46" s="33">
        <f>COUNTIFS(API_Map!$K$5:$K$80,"نعم",API_Map!$L$5:$L$80,"لا")</f>
        <v/>
      </c>
      <c r="C46" s="28" t="n"/>
      <c r="D46" s="28" t="n"/>
      <c r="E46" s="28" t="n"/>
      <c r="F46" s="28" t="n"/>
      <c r="G46" s="28" t="n"/>
    </row>
    <row r="47" ht="42" customHeight="1" s="26">
      <c r="A47" s="31" t="inlineStr">
        <is>
          <t>عناصر الباك اند الجاهزة (من BackendChecklist)</t>
        </is>
      </c>
      <c r="B47" s="33">
        <f>COUNTIF(BackendChecklist!$H$5:$H$30,"نعم")&amp;" / "&amp;COUNTIF(BackendChecklist!$A$5:$A$30,"NE-*")</f>
        <v/>
      </c>
      <c r="C47" s="28" t="n"/>
      <c r="D47" s="28" t="n"/>
      <c r="E47" s="28" t="n"/>
      <c r="F47" s="28" t="n"/>
      <c r="G47" s="28" t="n"/>
    </row>
    <row r="48" ht="42" customHeight="1" s="26">
      <c r="A48" s="28" t="n"/>
      <c r="B48" s="28" t="n"/>
      <c r="C48" s="28" t="n"/>
      <c r="D48" s="28" t="n"/>
      <c r="E48" s="28" t="n"/>
      <c r="F48" s="28" t="n"/>
      <c r="G48" s="28" t="n"/>
    </row>
    <row r="49" ht="42" customHeight="1" s="26">
      <c r="A49" s="34" t="inlineStr">
        <is>
          <t>5) حالة كل WP</t>
        </is>
      </c>
      <c r="B49" s="35" t="n"/>
      <c r="C49" s="35" t="n"/>
      <c r="D49" s="35" t="n"/>
      <c r="E49" s="35" t="n"/>
      <c r="F49" s="35" t="n"/>
      <c r="G49" s="35" t="n"/>
    </row>
    <row r="50" ht="42" customHeight="1" s="26">
      <c r="A50" s="38" t="inlineStr">
        <is>
          <t>WP</t>
        </is>
      </c>
      <c r="B50" s="38" t="inlineStr">
        <is>
          <t>الاسم</t>
        </is>
      </c>
      <c r="C50" s="38" t="inlineStr">
        <is>
          <t>Wave</t>
        </is>
      </c>
      <c r="D50" s="38" t="inlineStr">
        <is>
          <t>% الإنجاز</t>
        </is>
      </c>
      <c r="E50" s="38" t="inlineStr">
        <is>
          <t>الحالة</t>
        </is>
      </c>
      <c r="F50" s="38" t="inlineStr">
        <is>
          <t>المسؤول</t>
        </is>
      </c>
      <c r="G50" s="28" t="n"/>
    </row>
    <row r="51" ht="42" customHeight="1" s="26">
      <c r="A51" s="31">
        <f>WorkPackages!A5</f>
        <v/>
      </c>
      <c r="B51" s="31">
        <f>WorkPackages!B5</f>
        <v/>
      </c>
      <c r="C51" s="31">
        <f>WorkPackages!C5</f>
        <v/>
      </c>
      <c r="D51" s="39">
        <f>WorkPackages!O5</f>
        <v/>
      </c>
      <c r="E51" s="31">
        <f>WorkPackages!P5</f>
        <v/>
      </c>
      <c r="F51" s="31">
        <f>WorkPackages!I5</f>
        <v/>
      </c>
      <c r="G51" s="28" t="n"/>
    </row>
    <row r="52" ht="42" customHeight="1" s="26">
      <c r="A52" s="31">
        <f>WorkPackages!A6</f>
        <v/>
      </c>
      <c r="B52" s="31">
        <f>WorkPackages!B6</f>
        <v/>
      </c>
      <c r="C52" s="31">
        <f>WorkPackages!C6</f>
        <v/>
      </c>
      <c r="D52" s="39">
        <f>WorkPackages!O6</f>
        <v/>
      </c>
      <c r="E52" s="31">
        <f>WorkPackages!P6</f>
        <v/>
      </c>
      <c r="F52" s="31">
        <f>WorkPackages!I6</f>
        <v/>
      </c>
      <c r="G52" s="28" t="n"/>
    </row>
    <row r="53" ht="42" customHeight="1" s="26">
      <c r="A53" s="31">
        <f>WorkPackages!A7</f>
        <v/>
      </c>
      <c r="B53" s="31">
        <f>WorkPackages!B7</f>
        <v/>
      </c>
      <c r="C53" s="31">
        <f>WorkPackages!C7</f>
        <v/>
      </c>
      <c r="D53" s="39">
        <f>WorkPackages!O7</f>
        <v/>
      </c>
      <c r="E53" s="31">
        <f>WorkPackages!P7</f>
        <v/>
      </c>
      <c r="F53" s="31">
        <f>WorkPackages!I7</f>
        <v/>
      </c>
      <c r="G53" s="28" t="n"/>
    </row>
    <row r="54" ht="42" customHeight="1" s="26">
      <c r="A54" s="31">
        <f>WorkPackages!A8</f>
        <v/>
      </c>
      <c r="B54" s="31">
        <f>WorkPackages!B8</f>
        <v/>
      </c>
      <c r="C54" s="31">
        <f>WorkPackages!C8</f>
        <v/>
      </c>
      <c r="D54" s="39">
        <f>WorkPackages!O8</f>
        <v/>
      </c>
      <c r="E54" s="31">
        <f>WorkPackages!P8</f>
        <v/>
      </c>
      <c r="F54" s="31">
        <f>WorkPackages!I8</f>
        <v/>
      </c>
      <c r="G54" s="28" t="n"/>
    </row>
    <row r="55" ht="42" customHeight="1" s="26">
      <c r="A55" s="31">
        <f>WorkPackages!A9</f>
        <v/>
      </c>
      <c r="B55" s="31">
        <f>WorkPackages!B9</f>
        <v/>
      </c>
      <c r="C55" s="31">
        <f>WorkPackages!C9</f>
        <v/>
      </c>
      <c r="D55" s="39">
        <f>WorkPackages!O9</f>
        <v/>
      </c>
      <c r="E55" s="31">
        <f>WorkPackages!P9</f>
        <v/>
      </c>
      <c r="F55" s="31">
        <f>WorkPackages!I9</f>
        <v/>
      </c>
      <c r="G55" s="28" t="n"/>
    </row>
    <row r="56" ht="42" customHeight="1" s="26">
      <c r="A56" s="31">
        <f>WorkPackages!A10</f>
        <v/>
      </c>
      <c r="B56" s="31">
        <f>WorkPackages!B10</f>
        <v/>
      </c>
      <c r="C56" s="31">
        <f>WorkPackages!C10</f>
        <v/>
      </c>
      <c r="D56" s="39">
        <f>WorkPackages!O10</f>
        <v/>
      </c>
      <c r="E56" s="31">
        <f>WorkPackages!P10</f>
        <v/>
      </c>
      <c r="F56" s="31">
        <f>WorkPackages!I10</f>
        <v/>
      </c>
      <c r="G56" s="28" t="n"/>
    </row>
    <row r="57" ht="42" customHeight="1" s="26">
      <c r="A57" s="31">
        <f>WorkPackages!A11</f>
        <v/>
      </c>
      <c r="B57" s="31">
        <f>WorkPackages!B11</f>
        <v/>
      </c>
      <c r="C57" s="31">
        <f>WorkPackages!C11</f>
        <v/>
      </c>
      <c r="D57" s="39">
        <f>WorkPackages!O11</f>
        <v/>
      </c>
      <c r="E57" s="31">
        <f>WorkPackages!P11</f>
        <v/>
      </c>
      <c r="F57" s="31">
        <f>WorkPackages!I11</f>
        <v/>
      </c>
      <c r="G57" s="28" t="n"/>
    </row>
    <row r="58" ht="42" customHeight="1" s="26">
      <c r="A58" s="31">
        <f>WorkPackages!A12</f>
        <v/>
      </c>
      <c r="B58" s="31">
        <f>WorkPackages!B12</f>
        <v/>
      </c>
      <c r="C58" s="31">
        <f>WorkPackages!C12</f>
        <v/>
      </c>
      <c r="D58" s="39">
        <f>WorkPackages!O12</f>
        <v/>
      </c>
      <c r="E58" s="31">
        <f>WorkPackages!P12</f>
        <v/>
      </c>
      <c r="F58" s="31">
        <f>WorkPackages!I12</f>
        <v/>
      </c>
      <c r="G58" s="28" t="n"/>
    </row>
    <row r="59" ht="42" customHeight="1" s="26">
      <c r="A59" s="31">
        <f>WorkPackages!A13</f>
        <v/>
      </c>
      <c r="B59" s="31">
        <f>WorkPackages!B13</f>
        <v/>
      </c>
      <c r="C59" s="31">
        <f>WorkPackages!C13</f>
        <v/>
      </c>
      <c r="D59" s="39">
        <f>WorkPackages!O13</f>
        <v/>
      </c>
      <c r="E59" s="31">
        <f>WorkPackages!P13</f>
        <v/>
      </c>
      <c r="F59" s="31">
        <f>WorkPackages!I13</f>
        <v/>
      </c>
      <c r="G59" s="28" t="n"/>
    </row>
    <row r="60" ht="42" customHeight="1" s="26">
      <c r="A60" s="31">
        <f>WorkPackages!A14</f>
        <v/>
      </c>
      <c r="B60" s="31">
        <f>WorkPackages!B14</f>
        <v/>
      </c>
      <c r="C60" s="31">
        <f>WorkPackages!C14</f>
        <v/>
      </c>
      <c r="D60" s="39">
        <f>WorkPackages!O14</f>
        <v/>
      </c>
      <c r="E60" s="31">
        <f>WorkPackages!P14</f>
        <v/>
      </c>
      <c r="F60" s="31">
        <f>WorkPackages!I14</f>
        <v/>
      </c>
      <c r="G60" s="28" t="n"/>
    </row>
    <row r="61" ht="42" customHeight="1" s="26">
      <c r="A61" s="31">
        <f>WorkPackages!A15</f>
        <v/>
      </c>
      <c r="B61" s="31">
        <f>WorkPackages!B15</f>
        <v/>
      </c>
      <c r="C61" s="31">
        <f>WorkPackages!C15</f>
        <v/>
      </c>
      <c r="D61" s="39">
        <f>WorkPackages!O15</f>
        <v/>
      </c>
      <c r="E61" s="31">
        <f>WorkPackages!P15</f>
        <v/>
      </c>
      <c r="F61" s="31">
        <f>WorkPackages!I15</f>
        <v/>
      </c>
      <c r="G61" s="28" t="n"/>
    </row>
    <row r="62" ht="42" customHeight="1" s="26">
      <c r="A62" s="31">
        <f>WorkPackages!A16</f>
        <v/>
      </c>
      <c r="B62" s="31">
        <f>WorkPackages!B16</f>
        <v/>
      </c>
      <c r="C62" s="31">
        <f>WorkPackages!C16</f>
        <v/>
      </c>
      <c r="D62" s="39">
        <f>WorkPackages!O16</f>
        <v/>
      </c>
      <c r="E62" s="31">
        <f>WorkPackages!P16</f>
        <v/>
      </c>
      <c r="F62" s="31">
        <f>WorkPackages!I16</f>
        <v/>
      </c>
      <c r="G62" s="28" t="n"/>
    </row>
    <row r="63" ht="42" customHeight="1" s="26">
      <c r="A63" s="31">
        <f>WorkPackages!A17</f>
        <v/>
      </c>
      <c r="B63" s="31">
        <f>WorkPackages!B17</f>
        <v/>
      </c>
      <c r="C63" s="31">
        <f>WorkPackages!C17</f>
        <v/>
      </c>
      <c r="D63" s="39">
        <f>WorkPackages!O17</f>
        <v/>
      </c>
      <c r="E63" s="31">
        <f>WorkPackages!P17</f>
        <v/>
      </c>
      <c r="F63" s="31">
        <f>WorkPackages!I17</f>
        <v/>
      </c>
      <c r="G63" s="28" t="n"/>
    </row>
    <row r="64" ht="42" customHeight="1" s="26">
      <c r="A64" s="31">
        <f>WorkPackages!A18</f>
        <v/>
      </c>
      <c r="B64" s="31">
        <f>WorkPackages!B18</f>
        <v/>
      </c>
      <c r="C64" s="31">
        <f>WorkPackages!C18</f>
        <v/>
      </c>
      <c r="D64" s="39">
        <f>WorkPackages!O18</f>
        <v/>
      </c>
      <c r="E64" s="31">
        <f>WorkPackages!P18</f>
        <v/>
      </c>
      <c r="F64" s="31">
        <f>WorkPackages!I18</f>
        <v/>
      </c>
      <c r="G64" s="28" t="n"/>
    </row>
    <row r="65" ht="42" customHeight="1" s="26">
      <c r="A65" s="31">
        <f>WorkPackages!A19</f>
        <v/>
      </c>
      <c r="B65" s="31">
        <f>WorkPackages!B19</f>
        <v/>
      </c>
      <c r="C65" s="31">
        <f>WorkPackages!C19</f>
        <v/>
      </c>
      <c r="D65" s="39">
        <f>WorkPackages!O19</f>
        <v/>
      </c>
      <c r="E65" s="31">
        <f>WorkPackages!P19</f>
        <v/>
      </c>
      <c r="F65" s="31">
        <f>WorkPackages!I19</f>
        <v/>
      </c>
      <c r="G65" s="28" t="n"/>
    </row>
    <row r="66" ht="42" customHeight="1" s="26">
      <c r="A66" s="31">
        <f>WorkPackages!A20</f>
        <v/>
      </c>
      <c r="B66" s="31">
        <f>WorkPackages!B20</f>
        <v/>
      </c>
      <c r="C66" s="31">
        <f>WorkPackages!C20</f>
        <v/>
      </c>
      <c r="D66" s="39">
        <f>WorkPackages!O20</f>
        <v/>
      </c>
      <c r="E66" s="31">
        <f>WorkPackages!P20</f>
        <v/>
      </c>
      <c r="F66" s="31">
        <f>WorkPackages!I20</f>
        <v/>
      </c>
      <c r="G66" s="28" t="n"/>
    </row>
    <row r="67" ht="42" customHeight="1" s="26">
      <c r="A67" s="31">
        <f>WorkPackages!A21</f>
        <v/>
      </c>
      <c r="B67" s="31">
        <f>WorkPackages!B21</f>
        <v/>
      </c>
      <c r="C67" s="31">
        <f>WorkPackages!C21</f>
        <v/>
      </c>
      <c r="D67" s="39">
        <f>WorkPackages!O21</f>
        <v/>
      </c>
      <c r="E67" s="31">
        <f>WorkPackages!P21</f>
        <v/>
      </c>
      <c r="F67" s="31">
        <f>WorkPackages!I21</f>
        <v/>
      </c>
      <c r="G67" s="28" t="n"/>
    </row>
    <row r="68" ht="42" customHeight="1" s="26">
      <c r="A68" s="31">
        <f>WorkPackages!A22</f>
        <v/>
      </c>
      <c r="B68" s="31">
        <f>WorkPackages!B22</f>
        <v/>
      </c>
      <c r="C68" s="31">
        <f>WorkPackages!C22</f>
        <v/>
      </c>
      <c r="D68" s="39">
        <f>WorkPackages!O22</f>
        <v/>
      </c>
      <c r="E68" s="31">
        <f>WorkPackages!P22</f>
        <v/>
      </c>
      <c r="F68" s="31">
        <f>WorkPackages!I22</f>
        <v/>
      </c>
      <c r="G68" s="28" t="n"/>
    </row>
    <row r="69" ht="42" customHeight="1" s="26">
      <c r="A69" s="31">
        <f>WorkPackages!A23</f>
        <v/>
      </c>
      <c r="B69" s="31">
        <f>WorkPackages!B23</f>
        <v/>
      </c>
      <c r="C69" s="31">
        <f>WorkPackages!C23</f>
        <v/>
      </c>
      <c r="D69" s="39">
        <f>WorkPackages!O23</f>
        <v/>
      </c>
      <c r="E69" s="31">
        <f>WorkPackages!P23</f>
        <v/>
      </c>
      <c r="F69" s="31">
        <f>WorkPackages!I23</f>
        <v/>
      </c>
      <c r="G69" s="28" t="n"/>
    </row>
    <row r="70" ht="42" customHeight="1" s="26">
      <c r="A70" s="31">
        <f>WorkPackages!A24</f>
        <v/>
      </c>
      <c r="B70" s="31">
        <f>WorkPackages!B24</f>
        <v/>
      </c>
      <c r="C70" s="31">
        <f>WorkPackages!C24</f>
        <v/>
      </c>
      <c r="D70" s="39">
        <f>WorkPackages!O24</f>
        <v/>
      </c>
      <c r="E70" s="31">
        <f>WorkPackages!P24</f>
        <v/>
      </c>
      <c r="F70" s="31">
        <f>WorkPackages!I24</f>
        <v/>
      </c>
      <c r="G70" s="28" t="n"/>
    </row>
  </sheetData>
  <conditionalFormatting sqref="B14">
    <cfRule type="dataBar" priority="2">
      <dataBar minLength="10" maxLength="90" showValue="1">
        <cfvo type="num" val="0"/>
        <cfvo type="num" val="1"/>
        <color rgb="FF63BE7B"/>
      </dataBar>
    </cfRule>
  </conditionalFormatting>
  <conditionalFormatting sqref="B29">
    <cfRule type="dataBar" priority="3">
      <dataBar minLength="10" maxLength="90" showValue="1">
        <cfvo type="num" val="0"/>
        <cfvo type="num" val="1"/>
        <color rgb="FF63BE7B"/>
      </dataBar>
    </cfRule>
  </conditionalFormatting>
  <conditionalFormatting sqref="B40">
    <cfRule type="cellIs" rank="0" priority="4" equalAverage="0" operator="greaterThan" aboveAverage="0" dxfId="0" text="" percent="0" bottom="0">
      <formula>0</formula>
    </cfRule>
  </conditionalFormatting>
  <conditionalFormatting sqref="B45">
    <cfRule type="cellIs" rank="0" priority="5" equalAverage="0" operator="greaterThan" aboveAverage="0" dxfId="0" text="" percent="0" bottom="0">
      <formula>0</formula>
    </cfRule>
  </conditionalFormatting>
  <conditionalFormatting sqref="E51:E70">
    <cfRule type="cellIs" rank="0" priority="6" equalAverage="0" operator="equal" aboveAverage="0" dxfId="1" text="" percent="0" bottom="0">
      <formula>"مكتمل"</formula>
    </cfRule>
    <cfRule type="cellIs" rank="0" priority="7" equalAverage="0" operator="equal" aboveAverage="0" dxfId="2" text="" percent="0" bottom="0">
      <formula>"قيد التنفيذ"</formula>
    </cfRule>
    <cfRule type="cellIs" rank="0" priority="8" equalAverage="0" operator="equal" aboveAverage="0" dxfId="3" text="" percent="0" bottom="0">
      <formula>"قيد المراجعة"</formula>
    </cfRule>
    <cfRule type="cellIs" rank="0" priority="9" equalAverage="0" operator="equal" aboveAverage="0" dxfId="0" text="" percent="0" bottom="0">
      <formula>"متوقف"</formula>
    </cfRule>
    <cfRule type="cellIs" rank="0" priority="10" equalAverage="0" operator="equal" aboveAverage="0" dxfId="4" text="" percent="0" bottom="0">
      <formula>"مؤجل"</formula>
    </cfRule>
  </conditionalFormatting>
  <conditionalFormatting sqref="D51:D70">
    <cfRule type="dataBar" priority="11">
      <dataBar minLength="10" maxLength="90" showValue="1">
        <cfvo type="num" val="0"/>
        <cfvo type="num" val="1"/>
        <color rgb="FF63BE7B"/>
      </dataBar>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0000"/>
    <outlinePr summaryBelow="1" summaryRight="1"/>
    <pageSetUpPr fitToPage="0"/>
  </sheetPr>
  <dimension ref="A1:K20"/>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25" min="1" max="1"/>
    <col width="34" customWidth="1" style="25" min="2" max="2"/>
    <col width="18" customWidth="1" style="25" min="3" max="3"/>
    <col width="50" customWidth="1" style="25" min="4" max="4"/>
    <col width="16" customWidth="1" style="25" min="5" max="5"/>
    <col width="60" customWidth="1" style="25" min="6" max="6"/>
    <col width="38" customWidth="1" style="25" min="7" max="7"/>
    <col width="10" customWidth="1" style="25" min="8" max="8"/>
    <col width="13" customWidth="1" style="25" min="9" max="9"/>
    <col width="12" customWidth="1" style="25" min="10" max="10"/>
    <col width="28" customWidth="1" style="25" min="11" max="11"/>
  </cols>
  <sheetData>
    <row r="1" ht="42" customHeight="1" s="26">
      <c r="A1" s="27" t="inlineStr">
        <is>
          <t>المطلوب من فريق الباك اند (عينات JSON + قرارات) — هل أصبح جاهزًا؟</t>
        </is>
      </c>
      <c r="B1" s="28" t="n"/>
      <c r="C1" s="28" t="n"/>
      <c r="D1" s="28" t="n"/>
      <c r="E1" s="28" t="n"/>
      <c r="F1" s="28" t="n"/>
      <c r="G1" s="28" t="n"/>
      <c r="H1" s="28" t="n"/>
      <c r="I1" s="28" t="n"/>
      <c r="J1" s="28" t="n"/>
      <c r="K1" s="28" t="n"/>
    </row>
    <row r="2" ht="42" customHeight="1" s="26">
      <c r="A2" s="32" t="inlineStr">
        <is>
          <t>غيّر عمود «جاهز؟» إلى نعم/جزئي/لا عند الاستلام. عمود «مهام تنتظر» يحسب كم مهمة ما زالت معلّقة عليه. تُحسب «حالة الاعتماد» لكل مهمة بورقة Tasks تلقائيًا.</t>
        </is>
      </c>
      <c r="B2" s="28" t="n"/>
      <c r="C2" s="28" t="n"/>
      <c r="D2" s="28" t="n"/>
      <c r="E2" s="28" t="n"/>
      <c r="F2" s="28" t="n"/>
      <c r="G2" s="28" t="n"/>
      <c r="H2" s="28" t="n"/>
      <c r="I2" s="28" t="n"/>
      <c r="J2" s="28" t="n"/>
      <c r="K2" s="28" t="n"/>
    </row>
    <row r="3" ht="42" customHeight="1" s="26">
      <c r="A3" s="28" t="n"/>
      <c r="B3" s="28" t="n"/>
      <c r="C3" s="28" t="n"/>
      <c r="D3" s="28" t="n"/>
      <c r="E3" s="28" t="n"/>
      <c r="F3" s="28" t="n"/>
      <c r="G3" s="28" t="n"/>
      <c r="H3" s="28" t="n"/>
      <c r="I3" s="28" t="n"/>
      <c r="J3" s="28" t="n"/>
      <c r="K3" s="28" t="n"/>
    </row>
    <row r="4" ht="42" customHeight="1" s="26">
      <c r="A4" s="40" t="inlineStr">
        <is>
          <t>NE</t>
        </is>
      </c>
      <c r="B4" s="40" t="inlineStr">
        <is>
          <t>الوصف</t>
        </is>
      </c>
      <c r="C4" s="40" t="inlineStr">
        <is>
          <t>النوع</t>
        </is>
      </c>
      <c r="D4" s="40" t="inlineStr">
        <is>
          <t>Endpoint(s)</t>
        </is>
      </c>
      <c r="E4" s="40" t="inlineStr">
        <is>
          <t>أسئلة مرتبطة (OpenQuestions)</t>
        </is>
      </c>
      <c r="F4" s="40" t="inlineStr">
        <is>
          <t>المطلوب بالضبط</t>
        </is>
      </c>
      <c r="G4" s="40" t="inlineStr">
        <is>
          <t>تفتح المهام</t>
        </is>
      </c>
      <c r="H4" s="40" t="inlineStr">
        <is>
          <t>جاهز؟</t>
        </is>
      </c>
      <c r="I4" s="40" t="inlineStr">
        <is>
          <t>تاريخ الاستلام</t>
        </is>
      </c>
      <c r="J4" s="40" t="inlineStr">
        <is>
          <t>مهام تنتظر الآن</t>
        </is>
      </c>
      <c r="K4" s="40" t="inlineStr">
        <is>
          <t>ملاحظات</t>
        </is>
      </c>
    </row>
    <row r="5" ht="42" customHeight="1" s="26">
      <c r="A5" s="41" t="inlineStr">
        <is>
          <t>NE-01</t>
        </is>
      </c>
      <c r="B5" s="31" t="inlineStr">
        <is>
          <t>طلبات الحجز وإعادة الجدولة (جهة المعلم)</t>
        </is>
      </c>
      <c r="C5" s="31" t="inlineStr">
        <is>
          <t>عينة JSON</t>
        </is>
      </c>
      <c r="D5" s="31" t="inlineStr">
        <is>
          <t>GET Booking/TeacherBookings?status= · GET Booking/TeacherRescheduleRequests?status=</t>
        </is>
      </c>
      <c r="E5" s="31" t="inlineStr">
        <is>
          <t>Q-14</t>
        </is>
      </c>
      <c r="F5" s="31" t="inlineStr">
        <is>
          <t>رد حقيقي لكل endpoint (حجز واحد على الأقل بكل حالة موجودة)، وأسماء حالات إعادة الجدولة 1..4</t>
        </is>
      </c>
      <c r="G5" s="31" t="inlineStr">
        <is>
          <t>T5-01، T5-02، T5-03، T5-04، T5-06</t>
        </is>
      </c>
      <c r="H5" s="30" t="inlineStr">
        <is>
          <t>لا</t>
        </is>
      </c>
      <c r="I5" s="42" t="n"/>
      <c r="J5" s="43">
        <f>COUNTIFS(Tasks!$W$5:$W$300,A5,Tasks!$M$5:$M$300,"&lt;&gt;مكتمل")</f>
        <v/>
      </c>
      <c r="K5" s="30" t="n"/>
    </row>
    <row r="6" ht="42" customHeight="1" s="26">
      <c r="A6" s="41" t="inlineStr">
        <is>
          <t>NE-02</t>
        </is>
      </c>
      <c r="B6" s="31" t="inlineStr">
        <is>
          <t>تفاصيل حجز الطالب</t>
        </is>
      </c>
      <c r="C6" s="31" t="inlineStr">
        <is>
          <t>عينة JSON + قرارات</t>
        </is>
      </c>
      <c r="D6" s="31" t="inlineStr">
        <is>
          <t>GET Student/GetBooking?id=</t>
        </is>
      </c>
      <c r="E6" s="31" t="inlineStr">
        <is>
          <t>Q-08, Q-09, Q-10</t>
        </is>
      </c>
      <c r="F6" s="31" t="inlineStr">
        <is>
          <t>رد حجز مؤكد وآخر مكتمل؛ هل فيه isRated/تقييم؟ وهل يرجع سياسة الإلغاء/المهلة؟ وقواعد أهلية إعادة الجدولة</t>
        </is>
      </c>
      <c r="G6" s="31" t="inlineStr">
        <is>
          <t>S2-01، S2-02، S2-05، S4-02، S4-03</t>
        </is>
      </c>
      <c r="H6" s="30" t="inlineStr">
        <is>
          <t>لا</t>
        </is>
      </c>
      <c r="I6" s="42" t="n"/>
      <c r="J6" s="43">
        <f>COUNTIFS(Tasks!$W$5:$W$300,A6,Tasks!$M$5:$M$300,"&lt;&gt;مكتمل")</f>
        <v/>
      </c>
      <c r="K6" s="30" t="n"/>
    </row>
    <row r="7" ht="42" customHeight="1" s="26">
      <c r="A7" s="41" t="inlineStr">
        <is>
          <t>NE-03</t>
        </is>
      </c>
      <c r="B7" s="31" t="inlineStr">
        <is>
          <t>حالة دفع الحجز</t>
        </is>
      </c>
      <c r="C7" s="31" t="inlineStr">
        <is>
          <t>عينة JSON + قرار</t>
        </is>
      </c>
      <c r="D7" s="31" t="inlineStr">
        <is>
          <t>GET Student/BookingPayment?bookingId=</t>
        </is>
      </c>
      <c r="E7" s="31" t="inlineStr">
        <is>
          <t>Q-06</t>
        </is>
      </c>
      <c r="F7" s="31" t="inlineStr">
        <is>
          <t>رد لحجز مؤكد وآخر رصيده غير كافٍ؛ ومتى يُخصم المبلغ فعليًا</t>
        </is>
      </c>
      <c r="G7" s="31" t="inlineStr">
        <is>
          <t>W1-01، W1-05</t>
        </is>
      </c>
      <c r="H7" s="30" t="inlineStr">
        <is>
          <t>لا</t>
        </is>
      </c>
      <c r="I7" s="42" t="n"/>
      <c r="J7" s="43">
        <f>COUNTIFS(Tasks!$W$5:$W$300,A7,Tasks!$M$5:$M$300,"&lt;&gt;مكتمل")</f>
        <v/>
      </c>
      <c r="K7" s="30" t="n"/>
    </row>
    <row r="8" ht="42" customHeight="1" s="26">
      <c r="A8" s="41" t="inlineStr">
        <is>
          <t>NE-04</t>
        </is>
      </c>
      <c r="B8" s="31" t="inlineStr">
        <is>
          <t>طلبات إعادة جدولة الطالب</t>
        </is>
      </c>
      <c r="C8" s="31" t="inlineStr">
        <is>
          <t>عينة JSON</t>
        </is>
      </c>
      <c r="D8" s="31" t="inlineStr">
        <is>
          <t>GET Student/MyRescheduleRequests</t>
        </is>
      </c>
      <c r="E8" s="31" t="inlineStr">
        <is>
          <t>—</t>
        </is>
      </c>
      <c r="F8" s="31" t="inlineStr">
        <is>
          <t>رد بطلب معلّق وآخر مرفوض/موافق عليه + أسماء الحالات</t>
        </is>
      </c>
      <c r="G8" s="31" t="inlineStr">
        <is>
          <t>S3-02</t>
        </is>
      </c>
      <c r="H8" s="30" t="inlineStr">
        <is>
          <t>لا</t>
        </is>
      </c>
      <c r="I8" s="42" t="n"/>
      <c r="J8" s="43">
        <f>COUNTIFS(Tasks!$W$5:$W$300,A8,Tasks!$M$5:$M$300,"&lt;&gt;مكتمل")</f>
        <v/>
      </c>
      <c r="K8" s="30" t="n"/>
    </row>
    <row r="9" ht="42" customHeight="1" s="26">
      <c r="A9" s="41" t="inlineStr">
        <is>
          <t>NE-05</t>
        </is>
      </c>
      <c r="B9" s="31" t="inlineStr">
        <is>
          <t>تفاصيل الدرس (طالب)</t>
        </is>
      </c>
      <c r="C9" s="31" t="inlineStr">
        <is>
          <t>عينة JSON</t>
        </is>
      </c>
      <c r="D9" s="31" t="inlineStr">
        <is>
          <t>GET Student/GetLesson?id=</t>
        </is>
      </c>
      <c r="E9" s="31" t="inlineStr">
        <is>
          <t>—</t>
        </is>
      </c>
      <c r="F9" s="31" t="inlineStr">
        <is>
          <t>درس حضوري (فيه القاعة) وآخر أونلاين (فيه المنصة والرابط وcanJoin)</t>
        </is>
      </c>
      <c r="G9" s="31" t="inlineStr">
        <is>
          <t>S5-01، S5-02، S5-03</t>
        </is>
      </c>
      <c r="H9" s="30" t="inlineStr">
        <is>
          <t>لا</t>
        </is>
      </c>
      <c r="I9" s="42" t="n"/>
      <c r="J9" s="43">
        <f>COUNTIFS(Tasks!$W$5:$W$300,A9,Tasks!$M$5:$M$300,"&lt;&gt;مكتمل")</f>
        <v/>
      </c>
      <c r="K9" s="30" t="n"/>
    </row>
    <row r="10" ht="42" customHeight="1" s="26">
      <c r="A10" s="41" t="inlineStr">
        <is>
          <t>NE-06</t>
        </is>
      </c>
      <c r="B10" s="31" t="inlineStr">
        <is>
          <t>تفاصيل الكورس المسجَّل</t>
        </is>
      </c>
      <c r="C10" s="31" t="inlineStr">
        <is>
          <t>عينة JSON</t>
        </is>
      </c>
      <c r="D10" s="31" t="inlineStr">
        <is>
          <t>GET Student/GetCourse?id=</t>
        </is>
      </c>
      <c r="E10" s="31" t="inlineStr">
        <is>
          <t>—</t>
        </is>
      </c>
      <c r="F10" s="31" t="inlineStr">
        <is>
          <t>كورس فيه مجموعة ودروس + كورس بلا دروس</t>
        </is>
      </c>
      <c r="G10" s="31" t="inlineStr">
        <is>
          <t>S6-01، S6-03، S6-04</t>
        </is>
      </c>
      <c r="H10" s="30" t="inlineStr">
        <is>
          <t>لا</t>
        </is>
      </c>
      <c r="I10" s="42" t="n"/>
      <c r="J10" s="43">
        <f>COUNTIFS(Tasks!$W$5:$W$300,A10,Tasks!$M$5:$M$300,"&lt;&gt;مكتمل")</f>
        <v/>
      </c>
      <c r="K10" s="30" t="n"/>
    </row>
    <row r="11" ht="42" customHeight="1" s="26">
      <c r="A11" s="41" t="inlineStr">
        <is>
          <t>NE-07</t>
        </is>
      </c>
      <c r="B11" s="31" t="inlineStr">
        <is>
          <t>سجل حضور الطالب</t>
        </is>
      </c>
      <c r="C11" s="31" t="inlineStr">
        <is>
          <t>عينة JSON</t>
        </is>
      </c>
      <c r="D11" s="31" t="inlineStr">
        <is>
          <t>GET Student/Attendance?from&amp;to&amp;courseId</t>
        </is>
      </c>
      <c r="E11" s="31" t="inlineStr">
        <is>
          <t>—</t>
        </is>
      </c>
      <c r="F11" s="31" t="inlineStr">
        <is>
          <t>رد بسجلات بالحالات الأربع وهل يرجع نسبة؟</t>
        </is>
      </c>
      <c r="G11" s="31" t="inlineStr">
        <is>
          <t>S7-01، S7-03، S7-04، S7-05</t>
        </is>
      </c>
      <c r="H11" s="30" t="inlineStr">
        <is>
          <t>لا</t>
        </is>
      </c>
      <c r="I11" s="42" t="n"/>
      <c r="J11" s="43">
        <f>COUNTIFS(Tasks!$W$5:$W$300,A11,Tasks!$M$5:$M$300,"&lt;&gt;مكتمل")</f>
        <v/>
      </c>
      <c r="K11" s="30" t="n"/>
    </row>
    <row r="12" ht="42" customHeight="1" s="26">
      <c r="A12" s="41" t="inlineStr">
        <is>
          <t>NE-08</t>
        </is>
      </c>
      <c r="B12" s="31" t="inlineStr">
        <is>
          <t>نتائج امتحانات الطالب</t>
        </is>
      </c>
      <c r="C12" s="31" t="inlineStr">
        <is>
          <t>عينة JSON</t>
        </is>
      </c>
      <c r="D12" s="31" t="inlineStr">
        <is>
          <t>GET Student/ExamResults?courseId</t>
        </is>
      </c>
      <c r="E12" s="31" t="inlineStr">
        <is>
          <t>—</t>
        </is>
      </c>
      <c r="F12" s="31" t="inlineStr">
        <is>
          <t>رد بعدة نتائج (العنوان/التاريخ/الدرجة/المجموع/الملاحظات)</t>
        </is>
      </c>
      <c r="G12" s="31" t="inlineStr">
        <is>
          <t>S8-01، S8-02، S8-03</t>
        </is>
      </c>
      <c r="H12" s="30" t="inlineStr">
        <is>
          <t>لا</t>
        </is>
      </c>
      <c r="I12" s="42" t="n"/>
      <c r="J12" s="43">
        <f>COUNTIFS(Tasks!$W$5:$W$300,A12,Tasks!$M$5:$M$300,"&lt;&gt;مكتمل")</f>
        <v/>
      </c>
      <c r="K12" s="30" t="n"/>
    </row>
    <row r="13" ht="42" customHeight="1" s="26">
      <c r="A13" s="41" t="inlineStr">
        <is>
          <t>NE-09</t>
        </is>
      </c>
      <c r="B13" s="31" t="inlineStr">
        <is>
          <t>كورس المعلم + المجموعة</t>
        </is>
      </c>
      <c r="C13" s="31" t="inlineStr">
        <is>
          <t>عينة JSON + قرارات</t>
        </is>
      </c>
      <c r="D13" s="31" t="inlineStr">
        <is>
          <t>GET Course/GetMineById?id=</t>
        </is>
      </c>
      <c r="E13" s="31" t="inlineStr">
        <is>
          <t>Q-02, Q-03</t>
        </is>
      </c>
      <c r="F13" s="31" t="inlineStr">
        <is>
          <t>شكل الرد (هل فيه groupId/المجموعات؟ هل لكورس أكثر من مجموعة؟)، وهل CreateEdit يأخذ teacherId من الجلسة؟</t>
        </is>
      </c>
      <c r="G13" s="31" t="inlineStr">
        <is>
          <t>T1-07، T2-01، T2-02، T2-04، T2-05، T2-06</t>
        </is>
      </c>
      <c r="H13" s="30" t="inlineStr">
        <is>
          <t>لا</t>
        </is>
      </c>
      <c r="I13" s="42" t="n"/>
      <c r="J13" s="43">
        <f>COUNTIFS(Tasks!$W$5:$W$300,A13,Tasks!$M$5:$M$300,"&lt;&gt;مكتمل")</f>
        <v/>
      </c>
      <c r="K13" s="30" t="n"/>
    </row>
    <row r="14" ht="42" customHeight="1" s="26">
      <c r="A14" s="41" t="inlineStr">
        <is>
          <t>NE-10</t>
        </is>
      </c>
      <c r="B14" s="31" t="inlineStr">
        <is>
          <t>قائمة كورسات المعلم</t>
        </is>
      </c>
      <c r="C14" s="31" t="inlineStr">
        <is>
          <t>عينة JSON + قرار</t>
        </is>
      </c>
      <c r="D14" s="31" t="inlineStr">
        <is>
          <t>POST Course/GetAll (بحساب معلم)</t>
        </is>
      </c>
      <c r="E14" s="31" t="inlineStr">
        <is>
          <t>Q-01</t>
        </is>
      </c>
      <c r="F14" s="31" t="inlineStr">
        <is>
          <t>هل يرجع كورسات المعلم الحالي فقط أم الكل؟</t>
        </is>
      </c>
      <c r="G14" s="31" t="inlineStr">
        <is>
          <t>T1-01</t>
        </is>
      </c>
      <c r="H14" s="30" t="inlineStr">
        <is>
          <t>لا</t>
        </is>
      </c>
      <c r="I14" s="42" t="n"/>
      <c r="J14" s="43">
        <f>COUNTIFS(Tasks!$W$5:$W$300,A14,Tasks!$M$5:$M$300,"&lt;&gt;مكتمل")</f>
        <v/>
      </c>
      <c r="K14" s="30" t="n"/>
    </row>
    <row r="15" ht="42" customHeight="1" s="26">
      <c r="A15" s="41" t="inlineStr">
        <is>
          <t>NE-11</t>
        </is>
      </c>
      <c r="B15" s="31" t="inlineStr">
        <is>
          <t>طلاب المجموعة</t>
        </is>
      </c>
      <c r="C15" s="31" t="inlineStr">
        <is>
          <t>عينة JSON</t>
        </is>
      </c>
      <c r="D15" s="31" t="inlineStr">
        <is>
          <t>GET Course/GetGroupStudents?groupId&amp;keyword</t>
        </is>
      </c>
      <c r="E15" s="31" t="inlineStr">
        <is>
          <t>Q-02</t>
        </is>
      </c>
      <c r="F15" s="31" t="inlineStr">
        <is>
          <t>رد بطلاب (الحقول المرجعة)</t>
        </is>
      </c>
      <c r="G15" s="31" t="inlineStr">
        <is>
          <t>T3-01، T3-02، T3-03، T3-04</t>
        </is>
      </c>
      <c r="H15" s="30" t="inlineStr">
        <is>
          <t>لا</t>
        </is>
      </c>
      <c r="I15" s="42" t="n"/>
      <c r="J15" s="43">
        <f>COUNTIFS(Tasks!$W$5:$W$300,A15,Tasks!$M$5:$M$300,"&lt;&gt;مكتمل")</f>
        <v/>
      </c>
      <c r="K15" s="30" t="n"/>
    </row>
    <row r="16" ht="42" customHeight="1" s="26">
      <c r="A16" s="41" t="inlineStr">
        <is>
          <t>NE-12</t>
        </is>
      </c>
      <c r="B16" s="31" t="inlineStr">
        <is>
          <t>جدول دروس الكورس (معلم)</t>
        </is>
      </c>
      <c r="C16" s="31" t="inlineStr">
        <is>
          <t>عينة JSON</t>
        </is>
      </c>
      <c r="D16" s="31" t="inlineStr">
        <is>
          <t>GET Lesson/GetSchedule?courseId&amp;groupId</t>
        </is>
      </c>
      <c r="E16" s="31" t="inlineStr">
        <is>
          <t>Q-02</t>
        </is>
      </c>
      <c r="F16" s="31" t="inlineStr">
        <is>
          <t>رد بدروس حضورية وأونلاين</t>
        </is>
      </c>
      <c r="G16" s="31" t="inlineStr">
        <is>
          <t>T4-01، T4-05</t>
        </is>
      </c>
      <c r="H16" s="30" t="inlineStr">
        <is>
          <t>لا</t>
        </is>
      </c>
      <c r="I16" s="42" t="n"/>
      <c r="J16" s="43">
        <f>COUNTIFS(Tasks!$W$5:$W$300,A16,Tasks!$M$5:$M$300,"&lt;&gt;مكتمل")</f>
        <v/>
      </c>
      <c r="K16" s="30" t="n"/>
    </row>
    <row r="17" ht="42" customHeight="1" s="26">
      <c r="A17" s="41" t="inlineStr">
        <is>
          <t>NE-13</t>
        </is>
      </c>
      <c r="B17" s="31" t="inlineStr">
        <is>
          <t>مصدر المادة/التصنيف/الصف (IDs)</t>
        </is>
      </c>
      <c r="C17" s="31" t="inlineStr">
        <is>
          <t>عينة JSON + قرار</t>
        </is>
      </c>
      <c r="D17" s="31" t="inlineStr">
        <is>
          <t>GET Teacher/CreateEditModal · POST Constant/GetAll</t>
        </is>
      </c>
      <c r="E17" s="31" t="inlineStr">
        <is>
          <t>Q-04</t>
        </is>
      </c>
      <c r="F17" s="31" t="inlineStr">
        <is>
          <t>من أين نجلب subjectId/categoryId/gradeId؟ مع الرد الفعلي (وأي parentId لـConstant)</t>
        </is>
      </c>
      <c r="G17" s="31" t="inlineStr">
        <is>
          <t>T1-03، T1-04، T1-05، T1-06، S1-03، S1-05</t>
        </is>
      </c>
      <c r="H17" s="30" t="inlineStr">
        <is>
          <t>لا</t>
        </is>
      </c>
      <c r="I17" s="42" t="n"/>
      <c r="J17" s="43">
        <f>COUNTIFS(Tasks!$W$5:$W$300,A17,Tasks!$M$5:$M$300,"&lt;&gt;مكتمل")</f>
        <v/>
      </c>
      <c r="K17" s="30" t="n"/>
    </row>
    <row r="18" ht="42" customHeight="1" s="26">
      <c r="A18" s="41" t="inlineStr">
        <is>
          <t>NE-14</t>
        </is>
      </c>
      <c r="B18" s="31" t="inlineStr">
        <is>
          <t>تحقق اختياري: أنواع موجودة بالكود قد تكون قديمة بعد تحديث الباك اند (لا تحجب أي مهمة)</t>
        </is>
      </c>
      <c r="C18" s="31" t="inlineStr">
        <is>
          <t>تحقق اختياري</t>
        </is>
      </c>
      <c r="D18" s="31" t="inlineStr">
        <is>
          <t>GET Student/Dashboard · Student/Schedule · Student/Progress · Parent/MyChildren · Parent/ChildAttendance · Parent/ChildExamResults · Wallet/MyWallet · POST Wallet/GetTransactionHistory · Teacher/PublicProfile · Teacher/Availability</t>
        </is>
      </c>
      <c r="E18" s="31" t="inlineStr">
        <is>
          <t>—</t>
        </is>
      </c>
      <c r="F18" s="31" t="inlineStr">
        <is>
          <t>هذه الردود غير موثّقة بالـSwagger أيضًا، لكن أنواعها منسوخة بالكود من DTOs الباك اند. إن تغيّر الباك اند قد تكون قديمة؛ عيّنة واحدة لكل endpoint تكفي للتأكد</t>
        </is>
      </c>
      <c r="G18" s="31" t="n"/>
      <c r="H18" s="30" t="inlineStr">
        <is>
          <t>لا</t>
        </is>
      </c>
      <c r="I18" s="42" t="n"/>
      <c r="J18" s="43">
        <f>COUNTIFS(Tasks!$W$5:$W$300,A18,Tasks!$M$5:$M$300,"&lt;&gt;مكتمل")</f>
        <v/>
      </c>
      <c r="K18" s="30" t="n"/>
    </row>
    <row r="19" ht="42" customHeight="1" s="26">
      <c r="A19" s="28" t="n"/>
      <c r="B19" s="28" t="n"/>
      <c r="C19" s="28" t="n"/>
      <c r="D19" s="28" t="n"/>
      <c r="E19" s="28" t="n"/>
      <c r="F19" s="28" t="n"/>
      <c r="G19" s="28" t="n"/>
      <c r="H19" s="28" t="n"/>
      <c r="I19" s="28" t="n"/>
      <c r="J19" s="28" t="n"/>
      <c r="K19" s="28" t="n"/>
    </row>
    <row r="20" ht="42" customHeight="1" s="26">
      <c r="A20" s="32" t="inlineStr">
        <is>
          <t>قرارات/أسئلة لا تحجب بدء مهمة لكنها تغيّر السلوك أو النصوص (تفاصيلها بورقة OpenQuestions): Q-06 · Q-07 · Q-11 · Q-12 · Q-14 · Q-15 · Q-18 · Q-19 · Q-20 · Q-21. وQ-17 (حسابات اختبار) تحجب QA فقط.</t>
        </is>
      </c>
      <c r="B20" s="28" t="n"/>
      <c r="C20" s="28" t="n"/>
      <c r="D20" s="28" t="n"/>
      <c r="E20" s="28" t="n"/>
      <c r="F20" s="28" t="n"/>
      <c r="G20" s="28" t="n"/>
      <c r="H20" s="28" t="n"/>
      <c r="I20" s="28" t="n"/>
      <c r="J20" s="28" t="n"/>
      <c r="K20" s="28" t="n"/>
    </row>
  </sheetData>
  <conditionalFormatting sqref="H5:H28">
    <cfRule type="cellIs" rank="0" priority="2" equalAverage="0" operator="equal" aboveAverage="0" dxfId="1" text="" percent="0" bottom="0">
      <formula>"نعم"</formula>
    </cfRule>
    <cfRule type="cellIs" rank="0" priority="3" equalAverage="0" operator="equal" aboveAverage="0" dxfId="2" text="" percent="0" bottom="0">
      <formula>"جزئي"</formula>
    </cfRule>
    <cfRule type="cellIs" rank="0" priority="4" equalAverage="0" operator="equal" aboveAverage="0" dxfId="0" text="" percent="0" bottom="0">
      <formula>"لا"</formula>
    </cfRule>
  </conditionalFormatting>
  <dataValidations count="1">
    <dataValidation sqref="H5:H28" showDropDown="0" showInputMessage="0" showErrorMessage="1" allowBlank="1" errorTitle="قيمة غير مسموحة" error="اختر من القائمة" type="list" errorStyle="stop" operator="between">
      <formula1>"نعم,جزئي,لا"</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C000"/>
    <outlinePr summaryBelow="1" summaryRight="1"/>
    <pageSetUpPr fitToPage="0"/>
  </sheetPr>
  <dimension ref="A1:N30"/>
  <sheetViews>
    <sheetView showFormulas="0" showGridLines="1" showRowColHeaders="1" showZeros="1" rightToLeft="1"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9" customWidth="1" style="25" min="1" max="1"/>
    <col width="40" customWidth="1" style="25" min="2" max="2"/>
    <col width="9" customWidth="1" style="25" min="3" max="3"/>
    <col width="10" customWidth="1" style="25" min="4" max="4"/>
    <col width="6" customWidth="1" style="25" min="5" max="7"/>
    <col width="10" customWidth="1" style="25" min="8" max="11"/>
    <col width="26" customWidth="1" style="25" min="12" max="12"/>
    <col width="40" customWidth="1" style="25" min="13" max="13"/>
    <col width="50" customWidth="1" style="25" min="14" max="14"/>
  </cols>
  <sheetData>
    <row r="1" ht="42" customHeight="1" s="26">
      <c r="A1" s="27" t="inlineStr">
        <is>
          <t>التوفّر والتوازي وحجم كل حزمة</t>
        </is>
      </c>
      <c r="B1" s="28" t="n"/>
      <c r="C1" s="28" t="n"/>
      <c r="D1" s="28" t="n"/>
      <c r="E1" s="28" t="n"/>
      <c r="F1" s="28" t="n"/>
      <c r="G1" s="28" t="n"/>
      <c r="H1" s="28" t="n"/>
      <c r="I1" s="28" t="n"/>
      <c r="J1" s="28" t="n"/>
      <c r="K1" s="28" t="n"/>
      <c r="L1" s="28" t="n"/>
      <c r="M1" s="28" t="n"/>
      <c r="N1" s="28" t="n"/>
    </row>
    <row r="2" ht="42" customHeight="1" s="26">
      <c r="A2" s="32" t="inlineStr">
        <is>
          <t>محسوب من Tasks. نقاط الجهد = S×1 + M×3 + L×5 (تقدير نسبي للمقارنة فقط، وليس ساعات). الأصفر = قابل للتعديل.</t>
        </is>
      </c>
      <c r="B2" s="28" t="n"/>
      <c r="C2" s="28" t="n"/>
      <c r="D2" s="28" t="n"/>
      <c r="E2" s="28" t="n"/>
      <c r="F2" s="28" t="n"/>
      <c r="G2" s="28" t="n"/>
      <c r="H2" s="28" t="n"/>
      <c r="I2" s="28" t="n"/>
      <c r="J2" s="28" t="n"/>
      <c r="K2" s="28" t="n"/>
      <c r="L2" s="28" t="n"/>
      <c r="M2" s="28" t="n"/>
      <c r="N2" s="28" t="n"/>
    </row>
    <row r="3" ht="42" customHeight="1" s="26">
      <c r="A3" s="44" t="inlineStr">
        <is>
          <t>وزن S</t>
        </is>
      </c>
      <c r="B3" s="45" t="n">
        <v>1</v>
      </c>
      <c r="C3" s="44" t="inlineStr">
        <is>
          <t>وزن M</t>
        </is>
      </c>
      <c r="D3" s="45" t="n">
        <v>3</v>
      </c>
      <c r="E3" s="44" t="inlineStr">
        <is>
          <t>وزن L</t>
        </is>
      </c>
      <c r="F3" s="45" t="n">
        <v>5</v>
      </c>
      <c r="G3" s="28" t="n"/>
      <c r="H3" s="28" t="n"/>
      <c r="I3" s="28" t="n"/>
      <c r="J3" s="28" t="n"/>
      <c r="K3" s="28" t="n"/>
      <c r="L3" s="28" t="n"/>
      <c r="M3" s="28" t="n"/>
      <c r="N3" s="28" t="n"/>
    </row>
    <row r="4" ht="42" customHeight="1" s="26">
      <c r="A4" s="28" t="n"/>
      <c r="B4" s="28" t="n"/>
      <c r="C4" s="28" t="n"/>
      <c r="D4" s="28" t="n"/>
      <c r="E4" s="28" t="n"/>
      <c r="F4" s="28" t="n"/>
      <c r="G4" s="28" t="n"/>
      <c r="H4" s="28" t="n"/>
      <c r="I4" s="28" t="n"/>
      <c r="J4" s="28" t="n"/>
      <c r="K4" s="28" t="n"/>
      <c r="L4" s="28" t="n"/>
      <c r="M4" s="28" t="n"/>
      <c r="N4" s="28" t="n"/>
    </row>
    <row r="5" ht="42" customHeight="1" s="26">
      <c r="A5" s="40" t="inlineStr">
        <is>
          <t>WP</t>
        </is>
      </c>
      <c r="B5" s="40" t="inlineStr">
        <is>
          <t>الاسم</t>
        </is>
      </c>
      <c r="C5" s="40" t="inlineStr">
        <is>
          <t>Wave</t>
        </is>
      </c>
      <c r="D5" s="40" t="inlineStr">
        <is>
          <t>عدد المهام</t>
        </is>
      </c>
      <c r="E5" s="40" t="inlineStr">
        <is>
          <t>S</t>
        </is>
      </c>
      <c r="F5" s="40" t="inlineStr">
        <is>
          <t>M</t>
        </is>
      </c>
      <c r="G5" s="40" t="inlineStr">
        <is>
          <t>L</t>
        </is>
      </c>
      <c r="H5" s="40" t="inlineStr">
        <is>
          <t>نقاط الجهد</t>
        </is>
      </c>
      <c r="I5" s="40" t="inlineStr">
        <is>
          <t>JSON: نعم</t>
        </is>
      </c>
      <c r="J5" s="40" t="inlineStr">
        <is>
          <t>JSON: جزئي</t>
        </is>
      </c>
      <c r="K5" s="40" t="inlineStr">
        <is>
          <t>JSON: لا</t>
        </is>
      </c>
      <c r="L5" s="40" t="inlineStr">
        <is>
          <t>بوابة البدء (WP)</t>
        </is>
      </c>
      <c r="M5" s="40" t="inlineStr">
        <is>
          <t>يمكن توازيه مع</t>
        </is>
      </c>
      <c r="N5" s="40" t="inlineStr">
        <is>
          <t>ملاحظة</t>
        </is>
      </c>
    </row>
    <row r="6" ht="42" customHeight="1" s="26">
      <c r="A6" s="41" t="inlineStr">
        <is>
          <t>WP-00</t>
        </is>
      </c>
      <c r="B6" s="31" t="inlineStr">
        <is>
          <t>الأساس المشترك (Foundation)</t>
        </is>
      </c>
      <c r="C6" s="31" t="inlineStr">
        <is>
          <t>Wave 0</t>
        </is>
      </c>
      <c r="D6" s="43">
        <f>COUNTIF(Tasks!$B$5:$B$300,A6)</f>
        <v/>
      </c>
      <c r="E6" s="43">
        <f>COUNTIFS(Tasks!$B$5:$B$300,A6,Tasks!$L$5:$L$300,"S")</f>
        <v/>
      </c>
      <c r="F6" s="43">
        <f>COUNTIFS(Tasks!$B$5:$B$300,A6,Tasks!$L$5:$L$300,"M")</f>
        <v/>
      </c>
      <c r="G6" s="43">
        <f>COUNTIFS(Tasks!$B$5:$B$300,A6,Tasks!$L$5:$L$300,"L")</f>
        <v/>
      </c>
      <c r="H6" s="43">
        <f>E6*$B$3+F6*$D$3+G6*$F$3</f>
        <v/>
      </c>
      <c r="I6" s="43">
        <f>COUNTIFS(Tasks!$B$5:$B$300,A6,Tasks!$U$5:$U$300,"نعم")</f>
        <v/>
      </c>
      <c r="J6" s="43">
        <f>COUNTIFS(Tasks!$B$5:$B$300,A6,Tasks!$U$5:$U$300,"جزئي")</f>
        <v/>
      </c>
      <c r="K6" s="43">
        <f>COUNTIFS(Tasks!$B$5:$B$300,A6,Tasks!$U$5:$U$300,"لا")</f>
        <v/>
      </c>
      <c r="L6" s="31" t="inlineStr">
        <is>
          <t>سُلِّم — بانتظار validate (00-17)</t>
        </is>
      </c>
      <c r="M6" s="31" t="inlineStr">
        <is>
          <t>WP-P1، WP-W2 (الآن)</t>
        </is>
      </c>
      <c r="N6" s="31" t="inlineStr">
        <is>
          <t>لا يعتمد على JSON. يُغلق بتشغيلك validate محليًا.</t>
        </is>
      </c>
    </row>
    <row r="7" ht="42" customHeight="1" s="26">
      <c r="A7" s="41" t="inlineStr">
        <is>
          <t>WP-J</t>
        </is>
      </c>
      <c r="B7" s="31" t="inlineStr">
        <is>
          <t>أنواع الردود الفعلية (بانتظار عينات JSON)</t>
        </is>
      </c>
      <c r="C7" s="31" t="inlineStr">
        <is>
          <t>Wave J</t>
        </is>
      </c>
      <c r="D7" s="43">
        <f>COUNTIF(Tasks!$B$5:$B$300,A7)</f>
        <v/>
      </c>
      <c r="E7" s="43">
        <f>COUNTIFS(Tasks!$B$5:$B$300,A7,Tasks!$L$5:$L$300,"S")</f>
        <v/>
      </c>
      <c r="F7" s="43">
        <f>COUNTIFS(Tasks!$B$5:$B$300,A7,Tasks!$L$5:$L$300,"M")</f>
        <v/>
      </c>
      <c r="G7" s="43">
        <f>COUNTIFS(Tasks!$B$5:$B$300,A7,Tasks!$L$5:$L$300,"L")</f>
        <v/>
      </c>
      <c r="H7" s="43">
        <f>E7*$B$3+F7*$D$3+G7*$F$3</f>
        <v/>
      </c>
      <c r="I7" s="43">
        <f>COUNTIFS(Tasks!$B$5:$B$300,A7,Tasks!$U$5:$U$300,"نعم")</f>
        <v/>
      </c>
      <c r="J7" s="43">
        <f>COUNTIFS(Tasks!$B$5:$B$300,A7,Tasks!$U$5:$U$300,"جزئي")</f>
        <v/>
      </c>
      <c r="K7" s="43">
        <f>COUNTIFS(Tasks!$B$5:$B$300,A7,Tasks!$U$5:$U$300,"لا")</f>
        <v/>
      </c>
      <c r="L7" s="31" t="inlineStr">
        <is>
          <t>عند وصول عينات JSON</t>
        </is>
      </c>
      <c r="M7" s="31" t="inlineStr">
        <is>
          <t>—</t>
        </is>
      </c>
      <c r="N7" s="31" t="inlineStr">
        <is>
          <t>يفتح المهام المعلّمة JSON=نعم.</t>
        </is>
      </c>
    </row>
    <row r="8" ht="42" customHeight="1" s="26">
      <c r="A8" s="41" t="inlineStr">
        <is>
          <t>WP-T1</t>
        </is>
      </c>
      <c r="B8" s="31" t="inlineStr">
        <is>
          <t>المعلم: قائمة الكورسات + شاشة الكورس + نموذج التفاصيل</t>
        </is>
      </c>
      <c r="C8" s="31" t="inlineStr">
        <is>
          <t>Wave 1</t>
        </is>
      </c>
      <c r="D8" s="43">
        <f>COUNTIF(Tasks!$B$5:$B$300,A8)</f>
        <v/>
      </c>
      <c r="E8" s="43">
        <f>COUNTIFS(Tasks!$B$5:$B$300,A8,Tasks!$L$5:$L$300,"S")</f>
        <v/>
      </c>
      <c r="F8" s="43">
        <f>COUNTIFS(Tasks!$B$5:$B$300,A8,Tasks!$L$5:$L$300,"M")</f>
        <v/>
      </c>
      <c r="G8" s="43">
        <f>COUNTIFS(Tasks!$B$5:$B$300,A8,Tasks!$L$5:$L$300,"L")</f>
        <v/>
      </c>
      <c r="H8" s="43">
        <f>E8*$B$3+F8*$D$3+G8*$F$3</f>
        <v/>
      </c>
      <c r="I8" s="43">
        <f>COUNTIFS(Tasks!$B$5:$B$300,A8,Tasks!$U$5:$U$300,"نعم")</f>
        <v/>
      </c>
      <c r="J8" s="43">
        <f>COUNTIFS(Tasks!$B$5:$B$300,A8,Tasks!$U$5:$U$300,"جزئي")</f>
        <v/>
      </c>
      <c r="K8" s="43">
        <f>COUNTIFS(Tasks!$B$5:$B$300,A8,Tasks!$U$5:$U$300,"لا")</f>
        <v/>
      </c>
      <c r="L8" s="31" t="inlineStr">
        <is>
          <t>حسب المهمة: «الآن» / «الآن (seam)» / «بعد JSON»</t>
        </is>
      </c>
      <c r="M8" s="31" t="inlineStr">
        <is>
          <t>كل WPs Wave 1 الأخرى (ملفات منفصلة)</t>
        </is>
      </c>
      <c r="N8" s="31" t="inlineStr">
        <is>
          <t>شغّل المهام الخالية من JSON الآن؛ المعلّمة JSON=نعم تنتظر WP-J.</t>
        </is>
      </c>
    </row>
    <row r="9" ht="42" customHeight="1" s="26">
      <c r="A9" s="41" t="inlineStr">
        <is>
          <t>WP-T2</t>
        </is>
      </c>
      <c r="B9" s="31" t="inlineStr">
        <is>
          <t>المعلم: إعداد المجموعة والجدول المتكرر</t>
        </is>
      </c>
      <c r="C9" s="31" t="inlineStr">
        <is>
          <t>Wave 1</t>
        </is>
      </c>
      <c r="D9" s="43">
        <f>COUNTIF(Tasks!$B$5:$B$300,A9)</f>
        <v/>
      </c>
      <c r="E9" s="43">
        <f>COUNTIFS(Tasks!$B$5:$B$300,A9,Tasks!$L$5:$L$300,"S")</f>
        <v/>
      </c>
      <c r="F9" s="43">
        <f>COUNTIFS(Tasks!$B$5:$B$300,A9,Tasks!$L$5:$L$300,"M")</f>
        <v/>
      </c>
      <c r="G9" s="43">
        <f>COUNTIFS(Tasks!$B$5:$B$300,A9,Tasks!$L$5:$L$300,"L")</f>
        <v/>
      </c>
      <c r="H9" s="43">
        <f>E9*$B$3+F9*$D$3+G9*$F$3</f>
        <v/>
      </c>
      <c r="I9" s="43">
        <f>COUNTIFS(Tasks!$B$5:$B$300,A9,Tasks!$U$5:$U$300,"نعم")</f>
        <v/>
      </c>
      <c r="J9" s="43">
        <f>COUNTIFS(Tasks!$B$5:$B$300,A9,Tasks!$U$5:$U$300,"جزئي")</f>
        <v/>
      </c>
      <c r="K9" s="43">
        <f>COUNTIFS(Tasks!$B$5:$B$300,A9,Tasks!$U$5:$U$300,"لا")</f>
        <v/>
      </c>
      <c r="L9" s="31" t="inlineStr">
        <is>
          <t>حسب المهمة: «الآن» / «الآن (seam)» / «بعد JSON»</t>
        </is>
      </c>
      <c r="M9" s="31" t="inlineStr">
        <is>
          <t>كل WPs Wave 1 الأخرى (ملفات منفصلة)</t>
        </is>
      </c>
      <c r="N9" s="31" t="inlineStr">
        <is>
          <t>شغّل المهام الخالية من JSON الآن؛ المعلّمة JSON=نعم تنتظر WP-J.</t>
        </is>
      </c>
    </row>
    <row r="10" ht="42" customHeight="1" s="26">
      <c r="A10" s="41" t="inlineStr">
        <is>
          <t>WP-T3</t>
        </is>
      </c>
      <c r="B10" s="31" t="inlineStr">
        <is>
          <t>المعلم: طلاب المجموعة</t>
        </is>
      </c>
      <c r="C10" s="31" t="inlineStr">
        <is>
          <t>Wave 1</t>
        </is>
      </c>
      <c r="D10" s="43">
        <f>COUNTIF(Tasks!$B$5:$B$300,A10)</f>
        <v/>
      </c>
      <c r="E10" s="43">
        <f>COUNTIFS(Tasks!$B$5:$B$300,A10,Tasks!$L$5:$L$300,"S")</f>
        <v/>
      </c>
      <c r="F10" s="43">
        <f>COUNTIFS(Tasks!$B$5:$B$300,A10,Tasks!$L$5:$L$300,"M")</f>
        <v/>
      </c>
      <c r="G10" s="43">
        <f>COUNTIFS(Tasks!$B$5:$B$300,A10,Tasks!$L$5:$L$300,"L")</f>
        <v/>
      </c>
      <c r="H10" s="43">
        <f>E10*$B$3+F10*$D$3+G10*$F$3</f>
        <v/>
      </c>
      <c r="I10" s="43">
        <f>COUNTIFS(Tasks!$B$5:$B$300,A10,Tasks!$U$5:$U$300,"نعم")</f>
        <v/>
      </c>
      <c r="J10" s="43">
        <f>COUNTIFS(Tasks!$B$5:$B$300,A10,Tasks!$U$5:$U$300,"جزئي")</f>
        <v/>
      </c>
      <c r="K10" s="43">
        <f>COUNTIFS(Tasks!$B$5:$B$300,A10,Tasks!$U$5:$U$300,"لا")</f>
        <v/>
      </c>
      <c r="L10" s="31" t="inlineStr">
        <is>
          <t>حسب المهمة: «الآن» / «الآن (seam)» / «بعد JSON»</t>
        </is>
      </c>
      <c r="M10" s="31" t="inlineStr">
        <is>
          <t>كل WPs Wave 1 الأخرى (ملفات منفصلة)</t>
        </is>
      </c>
      <c r="N10" s="31" t="inlineStr">
        <is>
          <t>شغّل المهام الخالية من JSON الآن؛ المعلّمة JSON=نعم تنتظر WP-J.</t>
        </is>
      </c>
    </row>
    <row r="11" ht="42" customHeight="1" s="26">
      <c r="A11" s="41" t="inlineStr">
        <is>
          <t>WP-T4</t>
        </is>
      </c>
      <c r="B11" s="31" t="inlineStr">
        <is>
          <t>المعلم: الدروس (إنشاء/جدولة/تعديل/إلغاء/اجتماع)</t>
        </is>
      </c>
      <c r="C11" s="31" t="inlineStr">
        <is>
          <t>Wave 1</t>
        </is>
      </c>
      <c r="D11" s="43">
        <f>COUNTIF(Tasks!$B$5:$B$300,A11)</f>
        <v/>
      </c>
      <c r="E11" s="43">
        <f>COUNTIFS(Tasks!$B$5:$B$300,A11,Tasks!$L$5:$L$300,"S")</f>
        <v/>
      </c>
      <c r="F11" s="43">
        <f>COUNTIFS(Tasks!$B$5:$B$300,A11,Tasks!$L$5:$L$300,"M")</f>
        <v/>
      </c>
      <c r="G11" s="43">
        <f>COUNTIFS(Tasks!$B$5:$B$300,A11,Tasks!$L$5:$L$300,"L")</f>
        <v/>
      </c>
      <c r="H11" s="43">
        <f>E11*$B$3+F11*$D$3+G11*$F$3</f>
        <v/>
      </c>
      <c r="I11" s="43">
        <f>COUNTIFS(Tasks!$B$5:$B$300,A11,Tasks!$U$5:$U$300,"نعم")</f>
        <v/>
      </c>
      <c r="J11" s="43">
        <f>COUNTIFS(Tasks!$B$5:$B$300,A11,Tasks!$U$5:$U$300,"جزئي")</f>
        <v/>
      </c>
      <c r="K11" s="43">
        <f>COUNTIFS(Tasks!$B$5:$B$300,A11,Tasks!$U$5:$U$300,"لا")</f>
        <v/>
      </c>
      <c r="L11" s="31" t="inlineStr">
        <is>
          <t>حسب المهمة: «الآن» / «الآن (seam)» / «بعد JSON»</t>
        </is>
      </c>
      <c r="M11" s="31" t="inlineStr">
        <is>
          <t>كل WPs Wave 1 الأخرى (ملفات منفصلة)</t>
        </is>
      </c>
      <c r="N11" s="31" t="inlineStr">
        <is>
          <t>شغّل المهام الخالية من JSON الآن؛ المعلّمة JSON=نعم تنتظر WP-J.</t>
        </is>
      </c>
    </row>
    <row r="12" ht="42" customHeight="1" s="26">
      <c r="A12" s="41" t="inlineStr">
        <is>
          <t>WP-T5</t>
        </is>
      </c>
      <c r="B12" s="31" t="inlineStr">
        <is>
          <t>المعلم: طلبات الحجز + طلبات إعادة الجدولة + لوحة المعلم</t>
        </is>
      </c>
      <c r="C12" s="31" t="inlineStr">
        <is>
          <t>Wave 1</t>
        </is>
      </c>
      <c r="D12" s="43">
        <f>COUNTIF(Tasks!$B$5:$B$300,A12)</f>
        <v/>
      </c>
      <c r="E12" s="43">
        <f>COUNTIFS(Tasks!$B$5:$B$300,A12,Tasks!$L$5:$L$300,"S")</f>
        <v/>
      </c>
      <c r="F12" s="43">
        <f>COUNTIFS(Tasks!$B$5:$B$300,A12,Tasks!$L$5:$L$300,"M")</f>
        <v/>
      </c>
      <c r="G12" s="43">
        <f>COUNTIFS(Tasks!$B$5:$B$300,A12,Tasks!$L$5:$L$300,"L")</f>
        <v/>
      </c>
      <c r="H12" s="43">
        <f>E12*$B$3+F12*$D$3+G12*$F$3</f>
        <v/>
      </c>
      <c r="I12" s="43">
        <f>COUNTIFS(Tasks!$B$5:$B$300,A12,Tasks!$U$5:$U$300,"نعم")</f>
        <v/>
      </c>
      <c r="J12" s="43">
        <f>COUNTIFS(Tasks!$B$5:$B$300,A12,Tasks!$U$5:$U$300,"جزئي")</f>
        <v/>
      </c>
      <c r="K12" s="43">
        <f>COUNTIFS(Tasks!$B$5:$B$300,A12,Tasks!$U$5:$U$300,"لا")</f>
        <v/>
      </c>
      <c r="L12" s="31" t="inlineStr">
        <is>
          <t>حسب المهمة: «الآن» / «الآن (seam)» / «بعد JSON»</t>
        </is>
      </c>
      <c r="M12" s="31" t="inlineStr">
        <is>
          <t>كل WPs Wave 1 الأخرى (ملفات منفصلة)</t>
        </is>
      </c>
      <c r="N12" s="31" t="inlineStr">
        <is>
          <t>شغّل المهام الخالية من JSON الآن؛ المعلّمة JSON=نعم تنتظر WP-J.</t>
        </is>
      </c>
    </row>
    <row r="13" ht="42" customHeight="1" s="26">
      <c r="A13" s="41" t="inlineStr">
        <is>
          <t>WP-S1</t>
        </is>
      </c>
      <c r="B13" s="31" t="inlineStr">
        <is>
          <t>الطالب: شاشة إنشاء الحجز</t>
        </is>
      </c>
      <c r="C13" s="31" t="inlineStr">
        <is>
          <t>Wave 1</t>
        </is>
      </c>
      <c r="D13" s="43">
        <f>COUNTIF(Tasks!$B$5:$B$300,A13)</f>
        <v/>
      </c>
      <c r="E13" s="43">
        <f>COUNTIFS(Tasks!$B$5:$B$300,A13,Tasks!$L$5:$L$300,"S")</f>
        <v/>
      </c>
      <c r="F13" s="43">
        <f>COUNTIFS(Tasks!$B$5:$B$300,A13,Tasks!$L$5:$L$300,"M")</f>
        <v/>
      </c>
      <c r="G13" s="43">
        <f>COUNTIFS(Tasks!$B$5:$B$300,A13,Tasks!$L$5:$L$300,"L")</f>
        <v/>
      </c>
      <c r="H13" s="43">
        <f>E13*$B$3+F13*$D$3+G13*$F$3</f>
        <v/>
      </c>
      <c r="I13" s="43">
        <f>COUNTIFS(Tasks!$B$5:$B$300,A13,Tasks!$U$5:$U$300,"نعم")</f>
        <v/>
      </c>
      <c r="J13" s="43">
        <f>COUNTIFS(Tasks!$B$5:$B$300,A13,Tasks!$U$5:$U$300,"جزئي")</f>
        <v/>
      </c>
      <c r="K13" s="43">
        <f>COUNTIFS(Tasks!$B$5:$B$300,A13,Tasks!$U$5:$U$300,"لا")</f>
        <v/>
      </c>
      <c r="L13" s="31" t="inlineStr">
        <is>
          <t>حسب المهمة: «الآن» / «الآن (seam)» / «بعد JSON»</t>
        </is>
      </c>
      <c r="M13" s="31" t="inlineStr">
        <is>
          <t>كل WPs Wave 1 الأخرى (ملفات منفصلة)</t>
        </is>
      </c>
      <c r="N13" s="31" t="inlineStr">
        <is>
          <t>شغّل المهام الخالية من JSON الآن؛ المعلّمة JSON=نعم تنتظر WP-J.</t>
        </is>
      </c>
    </row>
    <row r="14" ht="42" customHeight="1" s="26">
      <c r="A14" s="41" t="inlineStr">
        <is>
          <t>WP-S2</t>
        </is>
      </c>
      <c r="B14" s="31" t="inlineStr">
        <is>
          <t>الطالب: تفاصيل الحجز + الإلغاء + لوحات كورساتي</t>
        </is>
      </c>
      <c r="C14" s="31" t="inlineStr">
        <is>
          <t>Wave 1</t>
        </is>
      </c>
      <c r="D14" s="43">
        <f>COUNTIF(Tasks!$B$5:$B$300,A14)</f>
        <v/>
      </c>
      <c r="E14" s="43">
        <f>COUNTIFS(Tasks!$B$5:$B$300,A14,Tasks!$L$5:$L$300,"S")</f>
        <v/>
      </c>
      <c r="F14" s="43">
        <f>COUNTIFS(Tasks!$B$5:$B$300,A14,Tasks!$L$5:$L$300,"M")</f>
        <v/>
      </c>
      <c r="G14" s="43">
        <f>COUNTIFS(Tasks!$B$5:$B$300,A14,Tasks!$L$5:$L$300,"L")</f>
        <v/>
      </c>
      <c r="H14" s="43">
        <f>E14*$B$3+F14*$D$3+G14*$F$3</f>
        <v/>
      </c>
      <c r="I14" s="43">
        <f>COUNTIFS(Tasks!$B$5:$B$300,A14,Tasks!$U$5:$U$300,"نعم")</f>
        <v/>
      </c>
      <c r="J14" s="43">
        <f>COUNTIFS(Tasks!$B$5:$B$300,A14,Tasks!$U$5:$U$300,"جزئي")</f>
        <v/>
      </c>
      <c r="K14" s="43">
        <f>COUNTIFS(Tasks!$B$5:$B$300,A14,Tasks!$U$5:$U$300,"لا")</f>
        <v/>
      </c>
      <c r="L14" s="31" t="inlineStr">
        <is>
          <t>حسب المهمة: «الآن» / «الآن (seam)» / «بعد JSON»</t>
        </is>
      </c>
      <c r="M14" s="31" t="inlineStr">
        <is>
          <t>كل WPs Wave 1 الأخرى (ملفات منفصلة)</t>
        </is>
      </c>
      <c r="N14" s="31" t="inlineStr">
        <is>
          <t>شغّل المهام الخالية من JSON الآن؛ المعلّمة JSON=نعم تنتظر WP-J.</t>
        </is>
      </c>
    </row>
    <row r="15" ht="42" customHeight="1" s="26">
      <c r="A15" s="41" t="inlineStr">
        <is>
          <t>WP-S3</t>
        </is>
      </c>
      <c r="B15" s="31" t="inlineStr">
        <is>
          <t>الطالب: طلب إعادة الجدولة</t>
        </is>
      </c>
      <c r="C15" s="31" t="inlineStr">
        <is>
          <t>Wave 1</t>
        </is>
      </c>
      <c r="D15" s="43">
        <f>COUNTIF(Tasks!$B$5:$B$300,A15)</f>
        <v/>
      </c>
      <c r="E15" s="43">
        <f>COUNTIFS(Tasks!$B$5:$B$300,A15,Tasks!$L$5:$L$300,"S")</f>
        <v/>
      </c>
      <c r="F15" s="43">
        <f>COUNTIFS(Tasks!$B$5:$B$300,A15,Tasks!$L$5:$L$300,"M")</f>
        <v/>
      </c>
      <c r="G15" s="43">
        <f>COUNTIFS(Tasks!$B$5:$B$300,A15,Tasks!$L$5:$L$300,"L")</f>
        <v/>
      </c>
      <c r="H15" s="43">
        <f>E15*$B$3+F15*$D$3+G15*$F$3</f>
        <v/>
      </c>
      <c r="I15" s="43">
        <f>COUNTIFS(Tasks!$B$5:$B$300,A15,Tasks!$U$5:$U$300,"نعم")</f>
        <v/>
      </c>
      <c r="J15" s="43">
        <f>COUNTIFS(Tasks!$B$5:$B$300,A15,Tasks!$U$5:$U$300,"جزئي")</f>
        <v/>
      </c>
      <c r="K15" s="43">
        <f>COUNTIFS(Tasks!$B$5:$B$300,A15,Tasks!$U$5:$U$300,"لا")</f>
        <v/>
      </c>
      <c r="L15" s="31" t="inlineStr">
        <is>
          <t>حسب المهمة: «الآن» / «الآن (seam)» / «بعد JSON»</t>
        </is>
      </c>
      <c r="M15" s="31" t="inlineStr">
        <is>
          <t>كل WPs Wave 1 الأخرى (ملفات منفصلة)</t>
        </is>
      </c>
      <c r="N15" s="31" t="inlineStr">
        <is>
          <t>شغّل المهام الخالية من JSON الآن؛ المعلّمة JSON=نعم تنتظر WP-J.</t>
        </is>
      </c>
    </row>
    <row r="16" ht="42" customHeight="1" s="26">
      <c r="A16" s="41" t="inlineStr">
        <is>
          <t>WP-S4</t>
        </is>
      </c>
      <c r="B16" s="31" t="inlineStr">
        <is>
          <t>الطالب: تقييم المعلم</t>
        </is>
      </c>
      <c r="C16" s="31" t="inlineStr">
        <is>
          <t>Wave 1</t>
        </is>
      </c>
      <c r="D16" s="43">
        <f>COUNTIF(Tasks!$B$5:$B$300,A16)</f>
        <v/>
      </c>
      <c r="E16" s="43">
        <f>COUNTIFS(Tasks!$B$5:$B$300,A16,Tasks!$L$5:$L$300,"S")</f>
        <v/>
      </c>
      <c r="F16" s="43">
        <f>COUNTIFS(Tasks!$B$5:$B$300,A16,Tasks!$L$5:$L$300,"M")</f>
        <v/>
      </c>
      <c r="G16" s="43">
        <f>COUNTIFS(Tasks!$B$5:$B$300,A16,Tasks!$L$5:$L$300,"L")</f>
        <v/>
      </c>
      <c r="H16" s="43">
        <f>E16*$B$3+F16*$D$3+G16*$F$3</f>
        <v/>
      </c>
      <c r="I16" s="43">
        <f>COUNTIFS(Tasks!$B$5:$B$300,A16,Tasks!$U$5:$U$300,"نعم")</f>
        <v/>
      </c>
      <c r="J16" s="43">
        <f>COUNTIFS(Tasks!$B$5:$B$300,A16,Tasks!$U$5:$U$300,"جزئي")</f>
        <v/>
      </c>
      <c r="K16" s="43">
        <f>COUNTIFS(Tasks!$B$5:$B$300,A16,Tasks!$U$5:$U$300,"لا")</f>
        <v/>
      </c>
      <c r="L16" s="31" t="inlineStr">
        <is>
          <t>حسب المهمة: «الآن» / «الآن (seam)» / «بعد JSON»</t>
        </is>
      </c>
      <c r="M16" s="31" t="inlineStr">
        <is>
          <t>كل WPs Wave 1 الأخرى (ملفات منفصلة)</t>
        </is>
      </c>
      <c r="N16" s="31" t="inlineStr">
        <is>
          <t>شغّل المهام الخالية من JSON الآن؛ المعلّمة JSON=نعم تنتظر WP-J.</t>
        </is>
      </c>
    </row>
    <row r="17" ht="42" customHeight="1" s="26">
      <c r="A17" s="41" t="inlineStr">
        <is>
          <t>WP-S5</t>
        </is>
      </c>
      <c r="B17" s="31" t="inlineStr">
        <is>
          <t>الطالب: تفاصيل الدرس (حضوري/أونلاين) + تحسين الجدول</t>
        </is>
      </c>
      <c r="C17" s="31" t="inlineStr">
        <is>
          <t>Wave 1</t>
        </is>
      </c>
      <c r="D17" s="43">
        <f>COUNTIF(Tasks!$B$5:$B$300,A17)</f>
        <v/>
      </c>
      <c r="E17" s="43">
        <f>COUNTIFS(Tasks!$B$5:$B$300,A17,Tasks!$L$5:$L$300,"S")</f>
        <v/>
      </c>
      <c r="F17" s="43">
        <f>COUNTIFS(Tasks!$B$5:$B$300,A17,Tasks!$L$5:$L$300,"M")</f>
        <v/>
      </c>
      <c r="G17" s="43">
        <f>COUNTIFS(Tasks!$B$5:$B$300,A17,Tasks!$L$5:$L$300,"L")</f>
        <v/>
      </c>
      <c r="H17" s="43">
        <f>E17*$B$3+F17*$D$3+G17*$F$3</f>
        <v/>
      </c>
      <c r="I17" s="43">
        <f>COUNTIFS(Tasks!$B$5:$B$300,A17,Tasks!$U$5:$U$300,"نعم")</f>
        <v/>
      </c>
      <c r="J17" s="43">
        <f>COUNTIFS(Tasks!$B$5:$B$300,A17,Tasks!$U$5:$U$300,"جزئي")</f>
        <v/>
      </c>
      <c r="K17" s="43">
        <f>COUNTIFS(Tasks!$B$5:$B$300,A17,Tasks!$U$5:$U$300,"لا")</f>
        <v/>
      </c>
      <c r="L17" s="31" t="inlineStr">
        <is>
          <t>حسب المهمة: «الآن» / «الآن (seam)» / «بعد JSON»</t>
        </is>
      </c>
      <c r="M17" s="31" t="inlineStr">
        <is>
          <t>كل WPs Wave 1 الأخرى (ملفات منفصلة)</t>
        </is>
      </c>
      <c r="N17" s="31" t="inlineStr">
        <is>
          <t>شغّل المهام الخالية من JSON الآن؛ المعلّمة JSON=نعم تنتظر WP-J.</t>
        </is>
      </c>
    </row>
    <row r="18" ht="42" customHeight="1" s="26">
      <c r="A18" s="41" t="inlineStr">
        <is>
          <t>WP-S6</t>
        </is>
      </c>
      <c r="B18" s="31" t="inlineStr">
        <is>
          <t>الطالب: تفاصيل الكورس المسجَّل</t>
        </is>
      </c>
      <c r="C18" s="31" t="inlineStr">
        <is>
          <t>Wave 1</t>
        </is>
      </c>
      <c r="D18" s="43">
        <f>COUNTIF(Tasks!$B$5:$B$300,A18)</f>
        <v/>
      </c>
      <c r="E18" s="43">
        <f>COUNTIFS(Tasks!$B$5:$B$300,A18,Tasks!$L$5:$L$300,"S")</f>
        <v/>
      </c>
      <c r="F18" s="43">
        <f>COUNTIFS(Tasks!$B$5:$B$300,A18,Tasks!$L$5:$L$300,"M")</f>
        <v/>
      </c>
      <c r="G18" s="43">
        <f>COUNTIFS(Tasks!$B$5:$B$300,A18,Tasks!$L$5:$L$300,"L")</f>
        <v/>
      </c>
      <c r="H18" s="43">
        <f>E18*$B$3+F18*$D$3+G18*$F$3</f>
        <v/>
      </c>
      <c r="I18" s="43">
        <f>COUNTIFS(Tasks!$B$5:$B$300,A18,Tasks!$U$5:$U$300,"نعم")</f>
        <v/>
      </c>
      <c r="J18" s="43">
        <f>COUNTIFS(Tasks!$B$5:$B$300,A18,Tasks!$U$5:$U$300,"جزئي")</f>
        <v/>
      </c>
      <c r="K18" s="43">
        <f>COUNTIFS(Tasks!$B$5:$B$300,A18,Tasks!$U$5:$U$300,"لا")</f>
        <v/>
      </c>
      <c r="L18" s="31" t="inlineStr">
        <is>
          <t>حسب المهمة: «الآن» / «الآن (seam)» / «بعد JSON»</t>
        </is>
      </c>
      <c r="M18" s="31" t="inlineStr">
        <is>
          <t>كل WPs Wave 1 الأخرى (ملفات منفصلة)</t>
        </is>
      </c>
      <c r="N18" s="31" t="inlineStr">
        <is>
          <t>شغّل المهام الخالية من JSON الآن؛ المعلّمة JSON=نعم تنتظر WP-J.</t>
        </is>
      </c>
    </row>
    <row r="19" ht="42" customHeight="1" s="26">
      <c r="A19" s="41" t="inlineStr">
        <is>
          <t>WP-S7</t>
        </is>
      </c>
      <c r="B19" s="31" t="inlineStr">
        <is>
          <t>الطالب: سجل الحضور</t>
        </is>
      </c>
      <c r="C19" s="31" t="inlineStr">
        <is>
          <t>Wave 1</t>
        </is>
      </c>
      <c r="D19" s="43">
        <f>COUNTIF(Tasks!$B$5:$B$300,A19)</f>
        <v/>
      </c>
      <c r="E19" s="43">
        <f>COUNTIFS(Tasks!$B$5:$B$300,A19,Tasks!$L$5:$L$300,"S")</f>
        <v/>
      </c>
      <c r="F19" s="43">
        <f>COUNTIFS(Tasks!$B$5:$B$300,A19,Tasks!$L$5:$L$300,"M")</f>
        <v/>
      </c>
      <c r="G19" s="43">
        <f>COUNTIFS(Tasks!$B$5:$B$300,A19,Tasks!$L$5:$L$300,"L")</f>
        <v/>
      </c>
      <c r="H19" s="43">
        <f>E19*$B$3+F19*$D$3+G19*$F$3</f>
        <v/>
      </c>
      <c r="I19" s="43">
        <f>COUNTIFS(Tasks!$B$5:$B$300,A19,Tasks!$U$5:$U$300,"نعم")</f>
        <v/>
      </c>
      <c r="J19" s="43">
        <f>COUNTIFS(Tasks!$B$5:$B$300,A19,Tasks!$U$5:$U$300,"جزئي")</f>
        <v/>
      </c>
      <c r="K19" s="43">
        <f>COUNTIFS(Tasks!$B$5:$B$300,A19,Tasks!$U$5:$U$300,"لا")</f>
        <v/>
      </c>
      <c r="L19" s="31" t="inlineStr">
        <is>
          <t>حسب المهمة: «الآن» / «الآن (seam)» / «بعد JSON»</t>
        </is>
      </c>
      <c r="M19" s="31" t="inlineStr">
        <is>
          <t>كل WPs Wave 1 الأخرى (ملفات منفصلة)</t>
        </is>
      </c>
      <c r="N19" s="31" t="inlineStr">
        <is>
          <t>شغّل المهام الخالية من JSON الآن؛ المعلّمة JSON=نعم تنتظر WP-J.</t>
        </is>
      </c>
    </row>
    <row r="20" ht="42" customHeight="1" s="26">
      <c r="A20" s="41" t="inlineStr">
        <is>
          <t>WP-S8</t>
        </is>
      </c>
      <c r="B20" s="31" t="inlineStr">
        <is>
          <t>الطالب: نتائج الامتحانات</t>
        </is>
      </c>
      <c r="C20" s="31" t="inlineStr">
        <is>
          <t>Wave 1</t>
        </is>
      </c>
      <c r="D20" s="43">
        <f>COUNTIF(Tasks!$B$5:$B$300,A20)</f>
        <v/>
      </c>
      <c r="E20" s="43">
        <f>COUNTIFS(Tasks!$B$5:$B$300,A20,Tasks!$L$5:$L$300,"S")</f>
        <v/>
      </c>
      <c r="F20" s="43">
        <f>COUNTIFS(Tasks!$B$5:$B$300,A20,Tasks!$L$5:$L$300,"M")</f>
        <v/>
      </c>
      <c r="G20" s="43">
        <f>COUNTIFS(Tasks!$B$5:$B$300,A20,Tasks!$L$5:$L$300,"L")</f>
        <v/>
      </c>
      <c r="H20" s="43">
        <f>E20*$B$3+F20*$D$3+G20*$F$3</f>
        <v/>
      </c>
      <c r="I20" s="43">
        <f>COUNTIFS(Tasks!$B$5:$B$300,A20,Tasks!$U$5:$U$300,"نعم")</f>
        <v/>
      </c>
      <c r="J20" s="43">
        <f>COUNTIFS(Tasks!$B$5:$B$300,A20,Tasks!$U$5:$U$300,"جزئي")</f>
        <v/>
      </c>
      <c r="K20" s="43">
        <f>COUNTIFS(Tasks!$B$5:$B$300,A20,Tasks!$U$5:$U$300,"لا")</f>
        <v/>
      </c>
      <c r="L20" s="31" t="inlineStr">
        <is>
          <t>حسب المهمة: «الآن» / «الآن (seam)» / «بعد JSON»</t>
        </is>
      </c>
      <c r="M20" s="31" t="inlineStr">
        <is>
          <t>كل WPs Wave 1 الأخرى (ملفات منفصلة)</t>
        </is>
      </c>
      <c r="N20" s="31" t="inlineStr">
        <is>
          <t>شغّل المهام الخالية من JSON الآن؛ المعلّمة JSON=نعم تنتظر WP-J.</t>
        </is>
      </c>
    </row>
    <row r="21" ht="42" customHeight="1" s="26">
      <c r="A21" s="41" t="inlineStr">
        <is>
          <t>WP-S9</t>
        </is>
      </c>
      <c r="B21" s="31" t="inlineStr">
        <is>
          <t>الطالب: التقدم الأكاديمي</t>
        </is>
      </c>
      <c r="C21" s="31" t="inlineStr">
        <is>
          <t>Wave 1</t>
        </is>
      </c>
      <c r="D21" s="43">
        <f>COUNTIF(Tasks!$B$5:$B$300,A21)</f>
        <v/>
      </c>
      <c r="E21" s="43">
        <f>COUNTIFS(Tasks!$B$5:$B$300,A21,Tasks!$L$5:$L$300,"S")</f>
        <v/>
      </c>
      <c r="F21" s="43">
        <f>COUNTIFS(Tasks!$B$5:$B$300,A21,Tasks!$L$5:$L$300,"M")</f>
        <v/>
      </c>
      <c r="G21" s="43">
        <f>COUNTIFS(Tasks!$B$5:$B$300,A21,Tasks!$L$5:$L$300,"L")</f>
        <v/>
      </c>
      <c r="H21" s="43">
        <f>E21*$B$3+F21*$D$3+G21*$F$3</f>
        <v/>
      </c>
      <c r="I21" s="43">
        <f>COUNTIFS(Tasks!$B$5:$B$300,A21,Tasks!$U$5:$U$300,"نعم")</f>
        <v/>
      </c>
      <c r="J21" s="43">
        <f>COUNTIFS(Tasks!$B$5:$B$300,A21,Tasks!$U$5:$U$300,"جزئي")</f>
        <v/>
      </c>
      <c r="K21" s="43">
        <f>COUNTIFS(Tasks!$B$5:$B$300,A21,Tasks!$U$5:$U$300,"لا")</f>
        <v/>
      </c>
      <c r="L21" s="31" t="inlineStr">
        <is>
          <t>حسب المهمة: «الآن» / «الآن (seam)» / «بعد JSON»</t>
        </is>
      </c>
      <c r="M21" s="31" t="inlineStr">
        <is>
          <t>كل WPs Wave 1 الأخرى (ملفات منفصلة)</t>
        </is>
      </c>
      <c r="N21" s="31" t="inlineStr">
        <is>
          <t>شغّل المهام الخالية من JSON الآن؛ المعلّمة JSON=نعم تنتظر WP-J.</t>
        </is>
      </c>
    </row>
    <row r="22" ht="42" customHeight="1" s="26">
      <c r="A22" s="41" t="inlineStr">
        <is>
          <t>WP-P1</t>
        </is>
      </c>
      <c r="B22" s="31" t="inlineStr">
        <is>
          <t>ولي الأمر: عدد الإشعارات + تقييد الوصول + تحسينات التقرير</t>
        </is>
      </c>
      <c r="C22" s="31" t="inlineStr">
        <is>
          <t>Wave 1</t>
        </is>
      </c>
      <c r="D22" s="43">
        <f>COUNTIF(Tasks!$B$5:$B$300,A22)</f>
        <v/>
      </c>
      <c r="E22" s="43">
        <f>COUNTIFS(Tasks!$B$5:$B$300,A22,Tasks!$L$5:$L$300,"S")</f>
        <v/>
      </c>
      <c r="F22" s="43">
        <f>COUNTIFS(Tasks!$B$5:$B$300,A22,Tasks!$L$5:$L$300,"M")</f>
        <v/>
      </c>
      <c r="G22" s="43">
        <f>COUNTIFS(Tasks!$B$5:$B$300,A22,Tasks!$L$5:$L$300,"L")</f>
        <v/>
      </c>
      <c r="H22" s="43">
        <f>E22*$B$3+F22*$D$3+G22*$F$3</f>
        <v/>
      </c>
      <c r="I22" s="43">
        <f>COUNTIFS(Tasks!$B$5:$B$300,A22,Tasks!$U$5:$U$300,"نعم")</f>
        <v/>
      </c>
      <c r="J22" s="43">
        <f>COUNTIFS(Tasks!$B$5:$B$300,A22,Tasks!$U$5:$U$300,"جزئي")</f>
        <v/>
      </c>
      <c r="K22" s="43">
        <f>COUNTIFS(Tasks!$B$5:$B$300,A22,Tasks!$U$5:$U$300,"لا")</f>
        <v/>
      </c>
      <c r="L22" s="31" t="inlineStr">
        <is>
          <t>الآن (ما عدا P1-05 بعد enums)</t>
        </is>
      </c>
      <c r="M22" s="31" t="inlineStr">
        <is>
          <t>WP-00، WP-W2</t>
        </is>
      </c>
      <c r="N22" s="31" t="inlineStr">
        <is>
          <t>يعدّل ملفات قائمة فقط؛ لا stubs ولا تعارض مع WP-00.</t>
        </is>
      </c>
    </row>
    <row r="23" ht="42" customHeight="1" s="26">
      <c r="A23" s="41" t="inlineStr">
        <is>
          <t>WP-W1</t>
        </is>
      </c>
      <c r="B23" s="31" t="inlineStr">
        <is>
          <t>المحفظة (طالب): الخصم وحالة الدفع</t>
        </is>
      </c>
      <c r="C23" s="31" t="inlineStr">
        <is>
          <t>Wave 1</t>
        </is>
      </c>
      <c r="D23" s="43">
        <f>COUNTIF(Tasks!$B$5:$B$300,A23)</f>
        <v/>
      </c>
      <c r="E23" s="43">
        <f>COUNTIFS(Tasks!$B$5:$B$300,A23,Tasks!$L$5:$L$300,"S")</f>
        <v/>
      </c>
      <c r="F23" s="43">
        <f>COUNTIFS(Tasks!$B$5:$B$300,A23,Tasks!$L$5:$L$300,"M")</f>
        <v/>
      </c>
      <c r="G23" s="43">
        <f>COUNTIFS(Tasks!$B$5:$B$300,A23,Tasks!$L$5:$L$300,"L")</f>
        <v/>
      </c>
      <c r="H23" s="43">
        <f>E23*$B$3+F23*$D$3+G23*$F$3</f>
        <v/>
      </c>
      <c r="I23" s="43">
        <f>COUNTIFS(Tasks!$B$5:$B$300,A23,Tasks!$U$5:$U$300,"نعم")</f>
        <v/>
      </c>
      <c r="J23" s="43">
        <f>COUNTIFS(Tasks!$B$5:$B$300,A23,Tasks!$U$5:$U$300,"جزئي")</f>
        <v/>
      </c>
      <c r="K23" s="43">
        <f>COUNTIFS(Tasks!$B$5:$B$300,A23,Tasks!$U$5:$U$300,"لا")</f>
        <v/>
      </c>
      <c r="L23" s="31" t="inlineStr">
        <is>
          <t>حسب المهمة: «الآن» / «الآن (seam)» / «بعد JSON»</t>
        </is>
      </c>
      <c r="M23" s="31" t="inlineStr">
        <is>
          <t>كل WPs Wave 1 الأخرى (ملفات منفصلة)</t>
        </is>
      </c>
      <c r="N23" s="31" t="inlineStr">
        <is>
          <t>شغّل المهام الخالية من JSON الآن؛ المعلّمة JSON=نعم تنتظر WP-J.</t>
        </is>
      </c>
    </row>
    <row r="24" ht="42" customHeight="1" s="26">
      <c r="A24" s="41" t="inlineStr">
        <is>
          <t>WP-W2</t>
        </is>
      </c>
      <c r="B24" s="31" t="inlineStr">
        <is>
          <t>المحفظة (معلم): إيداع الأرباح بعد العمولة</t>
        </is>
      </c>
      <c r="C24" s="31" t="inlineStr">
        <is>
          <t>Wave 1</t>
        </is>
      </c>
      <c r="D24" s="43">
        <f>COUNTIF(Tasks!$B$5:$B$300,A24)</f>
        <v/>
      </c>
      <c r="E24" s="43">
        <f>COUNTIFS(Tasks!$B$5:$B$300,A24,Tasks!$L$5:$L$300,"S")</f>
        <v/>
      </c>
      <c r="F24" s="43">
        <f>COUNTIFS(Tasks!$B$5:$B$300,A24,Tasks!$L$5:$L$300,"M")</f>
        <v/>
      </c>
      <c r="G24" s="43">
        <f>COUNTIFS(Tasks!$B$5:$B$300,A24,Tasks!$L$5:$L$300,"L")</f>
        <v/>
      </c>
      <c r="H24" s="43">
        <f>E24*$B$3+F24*$D$3+G24*$F$3</f>
        <v/>
      </c>
      <c r="I24" s="43">
        <f>COUNTIFS(Tasks!$B$5:$B$300,A24,Tasks!$U$5:$U$300,"نعم")</f>
        <v/>
      </c>
      <c r="J24" s="43">
        <f>COUNTIFS(Tasks!$B$5:$B$300,A24,Tasks!$U$5:$U$300,"جزئي")</f>
        <v/>
      </c>
      <c r="K24" s="43">
        <f>COUNTIFS(Tasks!$B$5:$B$300,A24,Tasks!$U$5:$U$300,"لا")</f>
        <v/>
      </c>
      <c r="L24" s="31" t="inlineStr">
        <is>
          <t>الآن</t>
        </is>
      </c>
      <c r="M24" s="31" t="inlineStr">
        <is>
          <t>WP-00، WP-P1</t>
        </is>
      </c>
      <c r="N24" s="31" t="inlineStr">
        <is>
          <t>يعدّل teacher.earnings.tsx فقط؛ يستخدم دوال المحفظة الموجودة.</t>
        </is>
      </c>
    </row>
    <row r="25" ht="42" customHeight="1" s="26">
      <c r="A25" s="41" t="inlineStr">
        <is>
          <t>WP-QA</t>
        </is>
      </c>
      <c r="B25" s="31" t="inlineStr">
        <is>
          <t>التكامل والاختبار والتوثيق</t>
        </is>
      </c>
      <c r="C25" s="31" t="inlineStr">
        <is>
          <t>Wave 2</t>
        </is>
      </c>
      <c r="D25" s="43">
        <f>COUNTIF(Tasks!$B$5:$B$300,A25)</f>
        <v/>
      </c>
      <c r="E25" s="43">
        <f>COUNTIFS(Tasks!$B$5:$B$300,A25,Tasks!$L$5:$L$300,"S")</f>
        <v/>
      </c>
      <c r="F25" s="43">
        <f>COUNTIFS(Tasks!$B$5:$B$300,A25,Tasks!$L$5:$L$300,"M")</f>
        <v/>
      </c>
      <c r="G25" s="43">
        <f>COUNTIFS(Tasks!$B$5:$B$300,A25,Tasks!$L$5:$L$300,"L")</f>
        <v/>
      </c>
      <c r="H25" s="43">
        <f>E25*$B$3+F25*$D$3+G25*$F$3</f>
        <v/>
      </c>
      <c r="I25" s="43">
        <f>COUNTIFS(Tasks!$B$5:$B$300,A25,Tasks!$U$5:$U$300,"نعم")</f>
        <v/>
      </c>
      <c r="J25" s="43">
        <f>COUNTIFS(Tasks!$B$5:$B$300,A25,Tasks!$U$5:$U$300,"جزئي")</f>
        <v/>
      </c>
      <c r="K25" s="43">
        <f>COUNTIFS(Tasks!$B$5:$B$300,A25,Tasks!$U$5:$U$300,"لا")</f>
        <v/>
      </c>
      <c r="L25" s="31" t="inlineStr">
        <is>
          <t>بعد Wave 1</t>
        </is>
      </c>
      <c r="M25" s="31" t="inlineStr">
        <is>
          <t>—</t>
        </is>
      </c>
      <c r="N25" s="31" t="n"/>
    </row>
    <row r="26" ht="42" customHeight="1" s="26">
      <c r="A26" s="41" t="inlineStr">
        <is>
          <t>المجموع</t>
        </is>
      </c>
      <c r="B26" s="31" t="n"/>
      <c r="C26" s="31" t="n"/>
      <c r="D26" s="41">
        <f>SUM(D6:D25)</f>
        <v/>
      </c>
      <c r="E26" s="41">
        <f>SUM(E6:E25)</f>
        <v/>
      </c>
      <c r="F26" s="41">
        <f>SUM(F6:F25)</f>
        <v/>
      </c>
      <c r="G26" s="41">
        <f>SUM(G6:G25)</f>
        <v/>
      </c>
      <c r="H26" s="41">
        <f>SUM(H6:H25)</f>
        <v/>
      </c>
      <c r="I26" s="41">
        <f>SUM(I6:I25)</f>
        <v/>
      </c>
      <c r="J26" s="41">
        <f>SUM(J6:J25)</f>
        <v/>
      </c>
      <c r="K26" s="41">
        <f>SUM(K6:K25)</f>
        <v/>
      </c>
      <c r="L26" s="31" t="n"/>
      <c r="M26" s="31" t="n"/>
      <c r="N26" s="31" t="n"/>
    </row>
    <row r="27" ht="42" customHeight="1" s="26">
      <c r="A27" s="28" t="n"/>
      <c r="B27" s="28" t="n"/>
      <c r="C27" s="28" t="n"/>
      <c r="D27" s="28" t="n"/>
      <c r="E27" s="28" t="n"/>
      <c r="F27" s="28" t="n"/>
      <c r="G27" s="28" t="n"/>
      <c r="H27" s="28" t="n"/>
      <c r="I27" s="28" t="n"/>
      <c r="J27" s="28" t="n"/>
      <c r="K27" s="28" t="n"/>
      <c r="L27" s="28" t="n"/>
      <c r="M27" s="28" t="n"/>
      <c r="N27" s="28" t="n"/>
    </row>
    <row r="28" ht="42" customHeight="1" s="26">
      <c r="A28" s="44" t="inlineStr">
        <is>
          <t>المتاح للبدء الآن (بوابة = «الآن»)</t>
        </is>
      </c>
      <c r="B28" s="28" t="n"/>
      <c r="C28" s="28" t="n"/>
      <c r="D28" s="28" t="n"/>
      <c r="E28" s="28" t="n"/>
      <c r="F28" s="28" t="n"/>
      <c r="G28" s="28" t="n"/>
      <c r="H28" s="28" t="n"/>
      <c r="I28" s="28" t="n"/>
      <c r="J28" s="28" t="n"/>
      <c r="K28" s="28" t="n"/>
      <c r="L28" s="28" t="n"/>
      <c r="M28" s="28" t="n"/>
      <c r="N28" s="28" t="n"/>
    </row>
    <row r="29" ht="42" customHeight="1" s="26">
      <c r="A29" s="46" t="inlineStr">
        <is>
          <t>عدد المهام</t>
        </is>
      </c>
      <c r="B29" s="44">
        <f>COUNTIF(Tasks!$V$5:$V$300,"الآن")</f>
        <v/>
      </c>
      <c r="C29" s="28" t="n"/>
      <c r="D29" s="28" t="n"/>
      <c r="E29" s="28" t="n"/>
      <c r="F29" s="28" t="n"/>
      <c r="G29" s="28" t="n"/>
      <c r="H29" s="28" t="n"/>
      <c r="I29" s="28" t="n"/>
      <c r="J29" s="28" t="n"/>
      <c r="K29" s="28" t="n"/>
      <c r="L29" s="28" t="n"/>
      <c r="M29" s="28" t="n"/>
      <c r="N29" s="28" t="n"/>
    </row>
    <row r="30" ht="42" customHeight="1" s="26">
      <c r="A30" s="46" t="inlineStr">
        <is>
          <t>نقاط جهدها</t>
        </is>
      </c>
      <c r="B30" s="44">
        <f>COUNTIFS(Tasks!$V$5:$V$300,"الآن",Tasks!$L$5:$L$300,"S")*$B$3+COUNTIFS(Tasks!$V$5:$V$300,"الآن",Tasks!$L$5:$L$300,"M")*$D$3+COUNTIFS(Tasks!$V$5:$V$300,"الآن",Tasks!$L$5:$L$300,"L")*$F$3</f>
        <v/>
      </c>
      <c r="C30" s="28" t="n"/>
      <c r="D30" s="28" t="n"/>
      <c r="E30" s="28" t="n"/>
      <c r="F30" s="28" t="n"/>
      <c r="G30" s="28" t="n"/>
      <c r="H30" s="28" t="n"/>
      <c r="I30" s="28" t="n"/>
      <c r="J30" s="28" t="n"/>
      <c r="K30" s="28" t="n"/>
      <c r="L30" s="28" t="n"/>
      <c r="M30" s="28" t="n"/>
      <c r="N30" s="2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F3864"/>
    <outlinePr summaryBelow="1" summaryRight="1"/>
    <pageSetUpPr fitToPage="0"/>
  </sheetPr>
  <dimension ref="A1:F19"/>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5" min="1" max="1"/>
    <col width="22" customWidth="1" style="25" min="2" max="2"/>
    <col width="26" customWidth="1" style="25" min="3" max="3"/>
    <col width="60" customWidth="1" style="25" min="4" max="4"/>
    <col width="46" customWidth="1" style="25" min="5" max="5"/>
    <col width="60" customWidth="1" style="25" min="6" max="6"/>
  </cols>
  <sheetData>
    <row r="1" ht="42" customHeight="1" s="26">
      <c r="A1" s="27" t="inlineStr">
        <is>
          <t>خطة التوازي والدمج</t>
        </is>
      </c>
      <c r="B1" s="28" t="n"/>
      <c r="C1" s="28" t="n"/>
      <c r="D1" s="28" t="n"/>
      <c r="E1" s="28" t="n"/>
      <c r="F1" s="28" t="n"/>
    </row>
    <row r="2" ht="42" customHeight="1" s="26">
      <c r="A2" s="32" t="inlineStr">
        <is>
          <t>مقترح لتقسيم العمل على جلسات. أي مجموعة من WPs بنفس الـ Wave آمنة التوازي لأن ملفاتها منفصلة (راجع FileOwnership).</t>
        </is>
      </c>
      <c r="B2" s="28" t="n"/>
      <c r="C2" s="28" t="n"/>
      <c r="D2" s="28" t="n"/>
      <c r="E2" s="28" t="n"/>
      <c r="F2" s="28" t="n"/>
    </row>
    <row r="3" ht="42" customHeight="1" s="26">
      <c r="A3" s="28" t="n"/>
      <c r="B3" s="28" t="n"/>
      <c r="C3" s="28" t="n"/>
      <c r="D3" s="28" t="n"/>
      <c r="E3" s="28" t="n"/>
      <c r="F3" s="28" t="n"/>
    </row>
    <row r="4" ht="42" customHeight="1" s="26">
      <c r="A4" s="40" t="inlineStr">
        <is>
          <t>المرحلة</t>
        </is>
      </c>
      <c r="B4" s="40" t="inlineStr">
        <is>
          <t>المسار/Track</t>
        </is>
      </c>
      <c r="C4" s="40" t="inlineStr">
        <is>
          <t>WPs</t>
        </is>
      </c>
      <c r="D4" s="40" t="inlineStr">
        <is>
          <t>ملاحظات</t>
        </is>
      </c>
      <c r="E4" s="40" t="inlineStr">
        <is>
          <t>شرط البدء</t>
        </is>
      </c>
      <c r="F4" s="40" t="inlineStr">
        <is>
          <t>بوابة الإنجاز (Gate)</t>
        </is>
      </c>
    </row>
    <row r="5" ht="42" customHeight="1" s="26">
      <c r="A5" s="41" t="inlineStr">
        <is>
          <t>Wave 0</t>
        </is>
      </c>
      <c r="B5" s="31" t="inlineStr">
        <is>
          <t>Claude ينفّذ كاملًا ثم يشغّل المستخدم validate</t>
        </is>
      </c>
      <c r="C5" s="31" t="inlineStr">
        <is>
          <t>WP-00 → W0-Final</t>
        </is>
      </c>
      <c r="D5" s="31" t="inlineStr">
        <is>
          <t>WP-00 بالكامل (بلا JSON). بالتوازي معه يمكن للمستخدم بدء WP-P1 وWP-W2 فورًا (يعدّلان ملفات قائمة ولا يمسّان WP-00). WP-J ينتظر العينات.</t>
        </is>
      </c>
      <c r="E5" s="31" t="inlineStr">
        <is>
          <t>إجابة Q-01..Q-05 (على الأقل العينات) ← أو البدء بأنواع متساهلة</t>
        </is>
      </c>
      <c r="F5" s="31" t="inlineStr">
        <is>
          <t>WP-00 مكتمل + validate أخضر + إغلاق D-01..D-09 + إعلان الملفات المجمّدة</t>
        </is>
      </c>
    </row>
    <row r="6" ht="42" customHeight="1" s="26">
      <c r="A6" s="41" t="inlineStr">
        <is>
          <t>Wave J</t>
        </is>
      </c>
      <c r="B6" s="31" t="inlineStr">
        <is>
          <t>عند وصول العينات</t>
        </is>
      </c>
      <c r="C6" s="31" t="inlineStr">
        <is>
          <t>WP-J</t>
        </is>
      </c>
      <c r="D6" s="31" t="inlineStr">
        <is>
          <t>استبدال PendingResponse بأنواع حقيقية</t>
        </is>
      </c>
      <c r="E6" s="31" t="inlineStr">
        <is>
          <t>عينات JSON من المستخدم</t>
        </is>
      </c>
      <c r="F6" s="31" t="inlineStr">
        <is>
          <t>J-07 مكتمل</t>
        </is>
      </c>
    </row>
    <row r="7" ht="42" customHeight="1" s="26">
      <c r="A7" s="41" t="inlineStr">
        <is>
          <t>Wave 1</t>
        </is>
      </c>
      <c r="B7" s="31" t="inlineStr">
        <is>
          <t>Track 1: كورسات المعلم</t>
        </is>
      </c>
      <c r="C7" s="31" t="inlineStr">
        <is>
          <t>WP-T1 → WP-T3</t>
        </is>
      </c>
      <c r="D7" s="31" t="inlineStr">
        <is>
          <t>T3 يعتمد وظيفيًا على shell من T1 لكن كوديًا مستقل</t>
        </is>
      </c>
      <c r="E7" s="31" t="inlineStr">
        <is>
          <t>Wave 0 مغلق</t>
        </is>
      </c>
      <c r="F7" s="31" t="inlineStr">
        <is>
          <t>كل مهام الـ WPs مكتملة + validate</t>
        </is>
      </c>
    </row>
    <row r="8" ht="42" customHeight="1" s="26">
      <c r="A8" s="41" t="inlineStr">
        <is>
          <t>Wave 1</t>
        </is>
      </c>
      <c r="B8" s="31" t="inlineStr">
        <is>
          <t>Track 2: مجموعات ودروس</t>
        </is>
      </c>
      <c r="C8" s="31" t="inlineStr">
        <is>
          <t>WP-T2 → WP-T4</t>
        </is>
      </c>
      <c r="D8" s="31" t="inlineStr">
        <is>
          <t>الأكبر حجمًا (T4=L)؛ يمكن فصل T4 لجلستين داخليًا لكن بنفس الملفات → جلسة واحدة</t>
        </is>
      </c>
      <c r="E8" s="31" t="inlineStr">
        <is>
          <t>Wave 0 مغلق + Q-02</t>
        </is>
      </c>
      <c r="F8" s="31" t="inlineStr">
        <is>
          <t>نفسه</t>
        </is>
      </c>
    </row>
    <row r="9" ht="42" customHeight="1" s="26">
      <c r="A9" s="41" t="inlineStr">
        <is>
          <t>Wave 1</t>
        </is>
      </c>
      <c r="B9" s="31" t="inlineStr">
        <is>
          <t>Track 3: طلبات الحجز (معلم) + أرباح</t>
        </is>
      </c>
      <c r="C9" s="31" t="inlineStr">
        <is>
          <t>WP-T5 + WP-W2</t>
        </is>
      </c>
      <c r="D9" s="31" t="n"/>
      <c r="E9" s="31" t="inlineStr">
        <is>
          <t>Wave 0 مغلق</t>
        </is>
      </c>
      <c r="F9" s="31" t="inlineStr">
        <is>
          <t>نفسه</t>
        </is>
      </c>
    </row>
    <row r="10" ht="42" customHeight="1" s="26">
      <c r="A10" s="41" t="inlineStr">
        <is>
          <t>Wave 1</t>
        </is>
      </c>
      <c r="B10" s="31" t="inlineStr">
        <is>
          <t>Track 4: إنشاء الحجز + تفاصيله</t>
        </is>
      </c>
      <c r="C10" s="31" t="inlineStr">
        <is>
          <t>WP-S1 + WP-S2</t>
        </is>
      </c>
      <c r="D10" s="31" t="inlineStr">
        <is>
          <t>يستهلكان stubs لـ W1/S3/S4</t>
        </is>
      </c>
      <c r="E10" s="31" t="inlineStr">
        <is>
          <t>Wave 0 مغلق + Q-04, Q-06</t>
        </is>
      </c>
      <c r="F10" s="31" t="inlineStr">
        <is>
          <t>نفسه</t>
        </is>
      </c>
    </row>
    <row r="11" ht="42" customHeight="1" s="26">
      <c r="A11" s="41" t="inlineStr">
        <is>
          <t>Wave 1</t>
        </is>
      </c>
      <c r="B11" s="31" t="inlineStr">
        <is>
          <t>Track 5: إجراءات الحجز + المحفظة</t>
        </is>
      </c>
      <c r="C11" s="31" t="inlineStr">
        <is>
          <t>WP-S3 + WP-S4 + WP-W1</t>
        </is>
      </c>
      <c r="D11" s="31" t="inlineStr">
        <is>
          <t>مكونات صغيرة مستقلة</t>
        </is>
      </c>
      <c r="E11" s="31" t="inlineStr">
        <is>
          <t>Wave 0 مغلق</t>
        </is>
      </c>
      <c r="F11" s="31" t="inlineStr">
        <is>
          <t>نفسه</t>
        </is>
      </c>
    </row>
    <row r="12" ht="42" customHeight="1" s="26">
      <c r="A12" s="41" t="inlineStr">
        <is>
          <t>Wave 1</t>
        </is>
      </c>
      <c r="B12" s="31" t="inlineStr">
        <is>
          <t>Track 6: الدروس والكورسات (طالب)</t>
        </is>
      </c>
      <c r="C12" s="31" t="inlineStr">
        <is>
          <t>WP-S5 + WP-S6</t>
        </is>
      </c>
      <c r="D12" s="31" t="n"/>
      <c r="E12" s="31" t="inlineStr">
        <is>
          <t>Wave 0 مغلق</t>
        </is>
      </c>
      <c r="F12" s="31" t="inlineStr">
        <is>
          <t>نفسه</t>
        </is>
      </c>
    </row>
    <row r="13" ht="42" customHeight="1" s="26">
      <c r="A13" s="41" t="inlineStr">
        <is>
          <t>Wave 1</t>
        </is>
      </c>
      <c r="B13" s="31" t="inlineStr">
        <is>
          <t>Track 7: أكاديمي + ولي أمر</t>
        </is>
      </c>
      <c r="C13" s="31" t="inlineStr">
        <is>
          <t>WP-S7 + WP-S8 + WP-S9 + WP-P1</t>
        </is>
      </c>
      <c r="D13" s="31" t="inlineStr">
        <is>
          <t>كلها صغيرة (S)</t>
        </is>
      </c>
      <c r="E13" s="31" t="inlineStr">
        <is>
          <t>Wave 0 مغلق</t>
        </is>
      </c>
      <c r="F13" s="31" t="inlineStr">
        <is>
          <t>نفسه</t>
        </is>
      </c>
    </row>
    <row r="14" ht="42" customHeight="1" s="26">
      <c r="A14" s="41" t="inlineStr">
        <is>
          <t>Wave 2</t>
        </is>
      </c>
      <c r="B14" s="31" t="inlineStr">
        <is>
          <t>جلسة واحدة</t>
        </is>
      </c>
      <c r="C14" s="31" t="inlineStr">
        <is>
          <t>WP-QA</t>
        </is>
      </c>
      <c r="D14" s="31" t="inlineStr">
        <is>
          <t>بعد دمج كل Wave 1</t>
        </is>
      </c>
      <c r="E14" s="31" t="inlineStr">
        <is>
          <t>كل Wave 1 مدموج + Q-17</t>
        </is>
      </c>
      <c r="F14" s="31" t="inlineStr">
        <is>
          <t>validate + e2e + UAT + تحديث التوثيق + إعادة التدقيق</t>
        </is>
      </c>
    </row>
    <row r="15" ht="42" customHeight="1" s="26">
      <c r="A15" s="28" t="n"/>
      <c r="B15" s="28" t="n"/>
      <c r="C15" s="28" t="n"/>
      <c r="D15" s="28" t="n"/>
      <c r="E15" s="28" t="n"/>
      <c r="F15" s="28" t="n"/>
    </row>
    <row r="16" ht="42" customHeight="1" s="26">
      <c r="A16" s="44" t="inlineStr">
        <is>
          <t>ترتيب الدمج المقترح</t>
        </is>
      </c>
      <c r="B16" s="28" t="n"/>
      <c r="C16" s="28" t="n"/>
      <c r="D16" s="28" t="n"/>
      <c r="E16" s="28" t="n"/>
      <c r="F16" s="28" t="n"/>
    </row>
    <row r="17" ht="42" customHeight="1" s="26">
      <c r="A17" s="46" t="inlineStr">
        <is>
          <t>1) WP-00 أولًا (حاجز). 2) بعده أي ترتيب لـ Wave 1 (لا تداخل ملفات). 3) يُفضَّل دمج T1 قبل اختبار T2/T3/T4 معًا، ودمج W1/S3/S4 قبل اختبار S2 كاملًا (اختبار تكاملي فقط).</t>
        </is>
      </c>
      <c r="B17" s="28" t="n"/>
      <c r="C17" s="28" t="n"/>
      <c r="D17" s="28" t="n"/>
      <c r="E17" s="28" t="n"/>
      <c r="F17" s="28" t="n"/>
    </row>
    <row r="18" ht="42" customHeight="1" s="26">
      <c r="A18" s="46" t="inlineStr">
        <is>
          <t>4) قبل كل دمج: git pull/rebase، شغّل npm run format &amp;&amp; npm run validate، تأكد أن PR لا يلمس routeTree.gen.ts ولا ملفات خارج الملكية.</t>
        </is>
      </c>
      <c r="B18" s="28" t="n"/>
      <c r="C18" s="28" t="n"/>
      <c r="D18" s="28" t="n"/>
      <c r="E18" s="28" t="n"/>
      <c r="F18" s="28" t="n"/>
    </row>
    <row r="19" ht="42" customHeight="1" s="26">
      <c r="A19" s="46" t="inlineStr">
        <is>
          <t>5) عند تعارض غير متوقع: أوقف، سجّله في ChangeRequests، لا تحلّه بتعديل ملف غيرك.</t>
        </is>
      </c>
      <c r="B19" s="28" t="n"/>
      <c r="C19" s="28" t="n"/>
      <c r="D19" s="28" t="n"/>
      <c r="E19" s="28" t="n"/>
      <c r="F19" s="28" t="n"/>
    </row>
  </sheetData>
  <mergeCells count="3">
    <mergeCell ref="A19:F19"/>
    <mergeCell ref="A17:F17"/>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ED7D31"/>
    <outlinePr summaryBelow="1" summaryRight="1"/>
    <pageSetUpPr fitToPage="0"/>
  </sheetPr>
  <dimension ref="A1:S24"/>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9" customWidth="1" style="25" min="1" max="1"/>
    <col width="36" customWidth="1" style="25" min="2" max="2"/>
    <col width="9" customWidth="1" style="25" min="3" max="3"/>
    <col width="26" customWidth="1" style="25" min="4" max="4"/>
    <col width="52" customWidth="1" style="25" min="5" max="5"/>
    <col width="22" customWidth="1" style="25" min="6" max="6"/>
    <col width="7" customWidth="1" style="25" min="7" max="7"/>
    <col width="28" customWidth="1" style="25" min="8" max="8"/>
    <col width="13" customWidth="1" style="25" min="9" max="9"/>
    <col width="12" customWidth="1" style="25" min="10" max="10"/>
    <col width="9" customWidth="1" style="25" min="11" max="12"/>
    <col width="12" customWidth="1" style="25" min="13" max="13"/>
    <col width="9" customWidth="1" style="25" min="14" max="14"/>
    <col width="10" customWidth="1" style="25" min="15" max="15"/>
    <col width="14" customWidth="1" style="25" min="16" max="16"/>
    <col width="10" customWidth="1" style="25" min="17" max="17"/>
    <col width="16" customWidth="1" style="25" min="18" max="18"/>
    <col width="26" customWidth="1" style="25" min="19" max="19"/>
  </cols>
  <sheetData>
    <row r="1" ht="42" customHeight="1" s="26">
      <c r="A1" s="27" t="inlineStr">
        <is>
          <t>حزم العمل (Work Packages)</t>
        </is>
      </c>
      <c r="B1" s="28" t="n"/>
      <c r="C1" s="28" t="n"/>
      <c r="D1" s="28" t="n"/>
      <c r="E1" s="28" t="n"/>
      <c r="F1" s="28" t="n"/>
      <c r="G1" s="28" t="n"/>
      <c r="H1" s="28" t="n"/>
      <c r="I1" s="28" t="n"/>
      <c r="J1" s="28" t="n"/>
      <c r="K1" s="28" t="n"/>
      <c r="L1" s="28" t="n"/>
      <c r="M1" s="28" t="n"/>
      <c r="N1" s="28" t="n"/>
      <c r="O1" s="28" t="n"/>
      <c r="P1" s="28" t="n"/>
      <c r="Q1" s="28" t="n"/>
      <c r="R1" s="28" t="n"/>
      <c r="S1" s="28" t="n"/>
    </row>
    <row r="2" ht="42" customHeight="1" s="26">
      <c r="A2" s="32" t="inlineStr">
        <is>
          <t>كل WP = وحدة عمل مستقلة بملفات لا يشاركها غيرها. الحالة والنسبة محسوبة تلقائيًا من ورقة Tasks. الأصفر = إدخال.</t>
        </is>
      </c>
      <c r="B2" s="28" t="n"/>
      <c r="C2" s="28" t="n"/>
      <c r="D2" s="28" t="n"/>
      <c r="E2" s="28" t="n"/>
      <c r="F2" s="28" t="n"/>
      <c r="G2" s="28" t="n"/>
      <c r="H2" s="28" t="n"/>
      <c r="I2" s="28" t="n"/>
      <c r="J2" s="28" t="n"/>
      <c r="K2" s="28" t="n"/>
      <c r="L2" s="28" t="n"/>
      <c r="M2" s="28" t="n"/>
      <c r="N2" s="28" t="n"/>
      <c r="O2" s="28" t="n"/>
      <c r="P2" s="28" t="n"/>
      <c r="Q2" s="28" t="n"/>
      <c r="R2" s="28" t="n"/>
      <c r="S2" s="28" t="n"/>
    </row>
    <row r="3" ht="42" customHeight="1" s="26">
      <c r="A3" s="28" t="n"/>
      <c r="B3" s="28" t="n"/>
      <c r="C3" s="28" t="n"/>
      <c r="D3" s="28" t="n"/>
      <c r="E3" s="28" t="n"/>
      <c r="F3" s="28" t="n"/>
      <c r="G3" s="28" t="n"/>
      <c r="H3" s="28" t="n"/>
      <c r="I3" s="28" t="n"/>
      <c r="J3" s="28" t="n"/>
      <c r="K3" s="28" t="n"/>
      <c r="L3" s="28" t="n"/>
      <c r="M3" s="28" t="n"/>
      <c r="N3" s="28" t="n"/>
      <c r="O3" s="28" t="n"/>
      <c r="P3" s="28" t="n"/>
      <c r="Q3" s="28" t="n"/>
      <c r="R3" s="28" t="n"/>
      <c r="S3" s="28" t="n"/>
    </row>
    <row r="4" ht="42" customHeight="1" s="26">
      <c r="A4" s="40" t="inlineStr">
        <is>
          <t>WP</t>
        </is>
      </c>
      <c r="B4" s="40" t="inlineStr">
        <is>
          <t>الاسم</t>
        </is>
      </c>
      <c r="C4" s="40" t="inlineStr">
        <is>
          <t>Wave</t>
        </is>
      </c>
      <c r="D4" s="40" t="inlineStr">
        <is>
          <t>FRs</t>
        </is>
      </c>
      <c r="E4" s="40" t="inlineStr">
        <is>
          <t>النطاق</t>
        </is>
      </c>
      <c r="F4" s="40" t="inlineStr">
        <is>
          <t>يعتمد على</t>
        </is>
      </c>
      <c r="G4" s="40" t="inlineStr">
        <is>
          <t>الحجم</t>
        </is>
      </c>
      <c r="H4" s="40" t="inlineStr">
        <is>
          <t>الفرع (Branch)</t>
        </is>
      </c>
      <c r="I4" s="40" t="inlineStr">
        <is>
          <t>المسؤول</t>
        </is>
      </c>
      <c r="J4" s="40" t="inlineStr">
        <is>
          <t>الجلسة/Run</t>
        </is>
      </c>
      <c r="K4" s="40" t="inlineStr">
        <is>
          <t>عدد المهام</t>
        </is>
      </c>
      <c r="L4" s="40" t="inlineStr">
        <is>
          <t>مكتمل</t>
        </is>
      </c>
      <c r="M4" s="40" t="inlineStr">
        <is>
          <t>قيد التنفيذ/المراجعة</t>
        </is>
      </c>
      <c r="N4" s="40" t="inlineStr">
        <is>
          <t>متوقف</t>
        </is>
      </c>
      <c r="O4" s="40" t="inlineStr">
        <is>
          <t>% الإنجاز</t>
        </is>
      </c>
      <c r="P4" s="40" t="inlineStr">
        <is>
          <t>الحالة (محسوبة)</t>
        </is>
      </c>
      <c r="Q4" s="40" t="inlineStr">
        <is>
          <t>تم الدمج؟</t>
        </is>
      </c>
      <c r="R4" s="40" t="inlineStr">
        <is>
          <t>رابط PR</t>
        </is>
      </c>
      <c r="S4" s="40" t="inlineStr">
        <is>
          <t>ملاحظات</t>
        </is>
      </c>
    </row>
    <row r="5" ht="42" customHeight="1" s="26">
      <c r="A5" s="41" t="inlineStr">
        <is>
          <t>WP-00</t>
        </is>
      </c>
      <c r="B5" s="31" t="inlineStr">
        <is>
          <t>الأساس المشترك (Foundation)</t>
        </is>
      </c>
      <c r="C5" s="31" t="inlineStr">
        <is>
          <t>Wave 0</t>
        </is>
      </c>
      <c r="D5" s="31" t="inlineStr">
        <is>
          <t>عام</t>
        </is>
      </c>
      <c r="E5" s="31" t="inlineStr">
        <is>
          <t>مواءمة طبقة الـ API مع Swagger (طلبات الكتابة + OperationResult) + enums/formatters + مكونات UI مشتركة + تسجيل الصفحات + stubs + routeTree. لا يعتمد على JSON: كل رد غير موثّق يُكتب كـ PendingResponse ويُترك لـ WP-J. ينفّذه Claude بالكامل؛ المستخدم يشغّل validate/توليد routeTree محليًا (00-17).</t>
        </is>
      </c>
      <c r="F5" s="31" t="inlineStr">
        <is>
          <t>—</t>
        </is>
      </c>
      <c r="G5" s="31" t="inlineStr">
        <is>
          <t>L</t>
        </is>
      </c>
      <c r="H5" s="31" t="inlineStr">
        <is>
          <t>feat/wp-00-foundation</t>
        </is>
      </c>
      <c r="I5" s="30" t="inlineStr">
        <is>
          <t>Claude + المستخدم</t>
        </is>
      </c>
      <c r="J5" s="30" t="inlineStr">
        <is>
          <t>W0-A + W0-B + W0-Final</t>
        </is>
      </c>
      <c r="K5" s="43">
        <f>COUNTIF(Tasks!$B$5:$B$300,A5)</f>
        <v/>
      </c>
      <c r="L5" s="43">
        <f>COUNTIFS(Tasks!$B$5:$B$300,A5,Tasks!$M$5:$M$300,"مكتمل")</f>
        <v/>
      </c>
      <c r="M5" s="43">
        <f>COUNTIFS(Tasks!$B$5:$B$300,A5,Tasks!$M$5:$M$300,"قيد التنفيذ")+COUNTIFS(Tasks!$B$5:$B$300,A5,Tasks!$M$5:$M$300,"قيد المراجعة")</f>
        <v/>
      </c>
      <c r="N5" s="43">
        <f>COUNTIFS(Tasks!$B$5:$B$300,A5,Tasks!$M$5:$M$300,"متوقف")</f>
        <v/>
      </c>
      <c r="O5" s="47">
        <f>IF(K5=0,0,L5/K5)</f>
        <v/>
      </c>
      <c r="P5" s="43">
        <f>IF(K5=0,"—",IF(L5=K5,"مكتمل",IF(N5&gt;0,"متوقف",IF(L5+M5&gt;0,"قيد التنفيذ","لم يبدأ"))))</f>
        <v/>
      </c>
      <c r="Q5" s="30" t="inlineStr">
        <is>
          <t>لا</t>
        </is>
      </c>
      <c r="R5" s="30" t="n"/>
      <c r="S5" s="30" t="n"/>
    </row>
    <row r="6" ht="42" customHeight="1" s="26">
      <c r="A6" s="41" t="inlineStr">
        <is>
          <t>WP-J</t>
        </is>
      </c>
      <c r="B6" s="31" t="inlineStr">
        <is>
          <t>أنواع الردود الفعلية (بانتظار عينات JSON)</t>
        </is>
      </c>
      <c r="C6" s="31" t="inlineStr">
        <is>
          <t>Wave J</t>
        </is>
      </c>
      <c r="D6" s="31" t="inlineStr">
        <is>
          <t>عام</t>
        </is>
      </c>
      <c r="E6" s="31" t="inlineStr">
        <is>
          <t>استبدال الأنواع المؤقتة PendingResponse بأنواع حقيقية من عينات JSON، وحسم Q-01..Q-05. لا يبدأ قبل وصول العينات. يمسّ فقط أقسام الأنواع في ملفات API التي أنشأها WP-00.</t>
        </is>
      </c>
      <c r="F6" s="31" t="inlineStr">
        <is>
          <t>عينات JSON من المستخدم + إغلاق WP-00</t>
        </is>
      </c>
      <c r="G6" s="31" t="inlineStr">
        <is>
          <t>M</t>
        </is>
      </c>
      <c r="H6" s="31" t="inlineStr">
        <is>
          <t>feat/wp-j-response-types</t>
        </is>
      </c>
      <c r="I6" s="30" t="n"/>
      <c r="J6" s="30" t="n"/>
      <c r="K6" s="43">
        <f>COUNTIF(Tasks!$B$5:$B$300,A6)</f>
        <v/>
      </c>
      <c r="L6" s="43">
        <f>COUNTIFS(Tasks!$B$5:$B$300,A6,Tasks!$M$5:$M$300,"مكتمل")</f>
        <v/>
      </c>
      <c r="M6" s="43">
        <f>COUNTIFS(Tasks!$B$5:$B$300,A6,Tasks!$M$5:$M$300,"قيد التنفيذ")+COUNTIFS(Tasks!$B$5:$B$300,A6,Tasks!$M$5:$M$300,"قيد المراجعة")</f>
        <v/>
      </c>
      <c r="N6" s="43">
        <f>COUNTIFS(Tasks!$B$5:$B$300,A6,Tasks!$M$5:$M$300,"متوقف")</f>
        <v/>
      </c>
      <c r="O6" s="47">
        <f>IF(K6=0,0,L6/K6)</f>
        <v/>
      </c>
      <c r="P6" s="43">
        <f>IF(K6=0,"—",IF(L6=K6,"مكتمل",IF(N6&gt;0,"متوقف",IF(L6+M6&gt;0,"قيد التنفيذ","لم يبدأ"))))</f>
        <v/>
      </c>
      <c r="Q6" s="30" t="inlineStr">
        <is>
          <t>لا</t>
        </is>
      </c>
      <c r="R6" s="30" t="n"/>
      <c r="S6" s="30" t="n"/>
    </row>
    <row r="7" ht="42" customHeight="1" s="26">
      <c r="A7" s="41" t="inlineStr">
        <is>
          <t>WP-T1</t>
        </is>
      </c>
      <c r="B7" s="31" t="inlineStr">
        <is>
          <t>المعلم: قائمة الكورسات + شاشة الكورس + نموذج التفاصيل</t>
        </is>
      </c>
      <c r="C7" s="31" t="inlineStr">
        <is>
          <t>Wave 1</t>
        </is>
      </c>
      <c r="D7" s="31" t="inlineStr">
        <is>
          <t>FR-I01, FR-I05 (داعم)</t>
        </is>
      </c>
      <c r="E7" s="31" t="inlineStr">
        <is>
          <t>teacher.courses (قائمة) + teacher.course.$id (shell بتبويبات) + تبويب التفاصيل (إنشاء/تعديل كورس حضوري/أونلاين + مسودة).</t>
        </is>
      </c>
      <c r="F7" s="31" t="inlineStr">
        <is>
          <t>WP-00</t>
        </is>
      </c>
      <c r="G7" s="31" t="inlineStr">
        <is>
          <t>M</t>
        </is>
      </c>
      <c r="H7" s="31" t="inlineStr">
        <is>
          <t>feat/wp-t1-teacher-courses</t>
        </is>
      </c>
      <c r="I7" s="30" t="n"/>
      <c r="J7" s="30" t="n"/>
      <c r="K7" s="43">
        <f>COUNTIF(Tasks!$B$5:$B$300,A7)</f>
        <v/>
      </c>
      <c r="L7" s="43">
        <f>COUNTIFS(Tasks!$B$5:$B$300,A7,Tasks!$M$5:$M$300,"مكتمل")</f>
        <v/>
      </c>
      <c r="M7" s="43">
        <f>COUNTIFS(Tasks!$B$5:$B$300,A7,Tasks!$M$5:$M$300,"قيد التنفيذ")+COUNTIFS(Tasks!$B$5:$B$300,A7,Tasks!$M$5:$M$300,"قيد المراجعة")</f>
        <v/>
      </c>
      <c r="N7" s="43">
        <f>COUNTIFS(Tasks!$B$5:$B$300,A7,Tasks!$M$5:$M$300,"متوقف")</f>
        <v/>
      </c>
      <c r="O7" s="47">
        <f>IF(K7=0,0,L7/K7)</f>
        <v/>
      </c>
      <c r="P7" s="43">
        <f>IF(K7=0,"—",IF(L7=K7,"مكتمل",IF(N7&gt;0,"متوقف",IF(L7+M7&gt;0,"قيد التنفيذ","لم يبدأ"))))</f>
        <v/>
      </c>
      <c r="Q7" s="30" t="inlineStr">
        <is>
          <t>لا</t>
        </is>
      </c>
      <c r="R7" s="30" t="n"/>
      <c r="S7" s="30" t="n"/>
    </row>
    <row r="8" ht="42" customHeight="1" s="26">
      <c r="A8" s="41" t="inlineStr">
        <is>
          <t>WP-T2</t>
        </is>
      </c>
      <c r="B8" s="31" t="inlineStr">
        <is>
          <t>المعلم: إعداد المجموعة والجدول المتكرر</t>
        </is>
      </c>
      <c r="C8" s="31" t="inlineStr">
        <is>
          <t>Wave 1</t>
        </is>
      </c>
      <c r="D8" s="31" t="inlineStr">
        <is>
          <t>FR-I02, FR-I06</t>
        </is>
      </c>
      <c r="E8" s="31" t="inlineStr">
        <is>
          <t>تبويب إعداد المجموعة: الحد الأقصى، أيام الحضور + الوقت، المدة، فترة الكورس (حضوري وأونلاين).</t>
        </is>
      </c>
      <c r="F8" s="31" t="inlineStr">
        <is>
          <t>WP-00</t>
        </is>
      </c>
      <c r="G8" s="31" t="inlineStr">
        <is>
          <t>M</t>
        </is>
      </c>
      <c r="H8" s="31" t="inlineStr">
        <is>
          <t>feat/wp-t2-group-config</t>
        </is>
      </c>
      <c r="I8" s="30" t="n"/>
      <c r="J8" s="30" t="n"/>
      <c r="K8" s="43">
        <f>COUNTIF(Tasks!$B$5:$B$300,A8)</f>
        <v/>
      </c>
      <c r="L8" s="43">
        <f>COUNTIFS(Tasks!$B$5:$B$300,A8,Tasks!$M$5:$M$300,"مكتمل")</f>
        <v/>
      </c>
      <c r="M8" s="43">
        <f>COUNTIFS(Tasks!$B$5:$B$300,A8,Tasks!$M$5:$M$300,"قيد التنفيذ")+COUNTIFS(Tasks!$B$5:$B$300,A8,Tasks!$M$5:$M$300,"قيد المراجعة")</f>
        <v/>
      </c>
      <c r="N8" s="43">
        <f>COUNTIFS(Tasks!$B$5:$B$300,A8,Tasks!$M$5:$M$300,"متوقف")</f>
        <v/>
      </c>
      <c r="O8" s="47">
        <f>IF(K8=0,0,L8/K8)</f>
        <v/>
      </c>
      <c r="P8" s="43">
        <f>IF(K8=0,"—",IF(L8=K8,"مكتمل",IF(N8&gt;0,"متوقف",IF(L8+M8&gt;0,"قيد التنفيذ","لم يبدأ"))))</f>
        <v/>
      </c>
      <c r="Q8" s="30" t="inlineStr">
        <is>
          <t>لا</t>
        </is>
      </c>
      <c r="R8" s="30" t="n"/>
      <c r="S8" s="30" t="n"/>
    </row>
    <row r="9" ht="42" customHeight="1" s="26">
      <c r="A9" s="41" t="inlineStr">
        <is>
          <t>WP-T3</t>
        </is>
      </c>
      <c r="B9" s="31" t="inlineStr">
        <is>
          <t>المعلم: طلاب المجموعة</t>
        </is>
      </c>
      <c r="C9" s="31" t="inlineStr">
        <is>
          <t>Wave 1</t>
        </is>
      </c>
      <c r="D9" s="31" t="inlineStr">
        <is>
          <t>FR-I03</t>
        </is>
      </c>
      <c r="E9" s="31" t="inlineStr">
        <is>
          <t>تبويب طلاب المجموعة: اسم/هاتف/موقع + بحث + حالة فارغة.</t>
        </is>
      </c>
      <c r="F9" s="31" t="inlineStr">
        <is>
          <t>WP-00</t>
        </is>
      </c>
      <c r="G9" s="31" t="inlineStr">
        <is>
          <t>S</t>
        </is>
      </c>
      <c r="H9" s="31" t="inlineStr">
        <is>
          <t>feat/wp-t3-group-students</t>
        </is>
      </c>
      <c r="I9" s="30" t="n"/>
      <c r="J9" s="30" t="n"/>
      <c r="K9" s="43">
        <f>COUNTIF(Tasks!$B$5:$B$300,A9)</f>
        <v/>
      </c>
      <c r="L9" s="43">
        <f>COUNTIFS(Tasks!$B$5:$B$300,A9,Tasks!$M$5:$M$300,"مكتمل")</f>
        <v/>
      </c>
      <c r="M9" s="43">
        <f>COUNTIFS(Tasks!$B$5:$B$300,A9,Tasks!$M$5:$M$300,"قيد التنفيذ")+COUNTIFS(Tasks!$B$5:$B$300,A9,Tasks!$M$5:$M$300,"قيد المراجعة")</f>
        <v/>
      </c>
      <c r="N9" s="43">
        <f>COUNTIFS(Tasks!$B$5:$B$300,A9,Tasks!$M$5:$M$300,"متوقف")</f>
        <v/>
      </c>
      <c r="O9" s="47">
        <f>IF(K9=0,0,L9/K9)</f>
        <v/>
      </c>
      <c r="P9" s="43">
        <f>IF(K9=0,"—",IF(L9=K9,"مكتمل",IF(N9&gt;0,"متوقف",IF(L9+M9&gt;0,"قيد التنفيذ","لم يبدأ"))))</f>
        <v/>
      </c>
      <c r="Q9" s="30" t="inlineStr">
        <is>
          <t>لا</t>
        </is>
      </c>
      <c r="R9" s="30" t="n"/>
      <c r="S9" s="30" t="n"/>
    </row>
    <row r="10" ht="42" customHeight="1" s="26">
      <c r="A10" s="41" t="inlineStr">
        <is>
          <t>WP-T4</t>
        </is>
      </c>
      <c r="B10" s="31" t="inlineStr">
        <is>
          <t>المعلم: الدروس (إنشاء/جدولة/تعديل/إلغاء/اجتماع)</t>
        </is>
      </c>
      <c r="C10" s="31" t="inlineStr">
        <is>
          <t>Wave 1</t>
        </is>
      </c>
      <c r="D10" s="31" t="inlineStr">
        <is>
          <t>FR-I04, FR-I08, FR-I07, FR-I09, FR-I10, FR-I11</t>
        </is>
      </c>
      <c r="E10" s="31" t="inlineStr">
        <is>
          <t>تبويب الدروس: قائمة زمنية + نموذج درس حضوري/أونلاين + تعديل + إعداد الاجتماع + إلغاء بسبب.</t>
        </is>
      </c>
      <c r="F10" s="31" t="inlineStr">
        <is>
          <t>WP-00</t>
        </is>
      </c>
      <c r="G10" s="31" t="inlineStr">
        <is>
          <t>L</t>
        </is>
      </c>
      <c r="H10" s="31" t="inlineStr">
        <is>
          <t>feat/wp-t4-lessons</t>
        </is>
      </c>
      <c r="I10" s="30" t="n"/>
      <c r="J10" s="30" t="n"/>
      <c r="K10" s="43">
        <f>COUNTIF(Tasks!$B$5:$B$300,A10)</f>
        <v/>
      </c>
      <c r="L10" s="43">
        <f>COUNTIFS(Tasks!$B$5:$B$300,A10,Tasks!$M$5:$M$300,"مكتمل")</f>
        <v/>
      </c>
      <c r="M10" s="43">
        <f>COUNTIFS(Tasks!$B$5:$B$300,A10,Tasks!$M$5:$M$300,"قيد التنفيذ")+COUNTIFS(Tasks!$B$5:$B$300,A10,Tasks!$M$5:$M$300,"قيد المراجعة")</f>
        <v/>
      </c>
      <c r="N10" s="43">
        <f>COUNTIFS(Tasks!$B$5:$B$300,A10,Tasks!$M$5:$M$300,"متوقف")</f>
        <v/>
      </c>
      <c r="O10" s="47">
        <f>IF(K10=0,0,L10/K10)</f>
        <v/>
      </c>
      <c r="P10" s="43">
        <f>IF(K10=0,"—",IF(L10=K10,"مكتمل",IF(N10&gt;0,"متوقف",IF(L10+M10&gt;0,"قيد التنفيذ","لم يبدأ"))))</f>
        <v/>
      </c>
      <c r="Q10" s="30" t="inlineStr">
        <is>
          <t>لا</t>
        </is>
      </c>
      <c r="R10" s="30" t="n"/>
      <c r="S10" s="30" t="n"/>
    </row>
    <row r="11" ht="42" customHeight="1" s="26">
      <c r="A11" s="41" t="inlineStr">
        <is>
          <t>WP-T5</t>
        </is>
      </c>
      <c r="B11" s="31" t="inlineStr">
        <is>
          <t>المعلم: طلبات الحجز + طلبات إعادة الجدولة + لوحة المعلم</t>
        </is>
      </c>
      <c r="C11" s="31" t="inlineStr">
        <is>
          <t>Wave 1</t>
        </is>
      </c>
      <c r="D11" s="31" t="inlineStr">
        <is>
          <t>FR-T10 (داعم), FR-T06 (جهة المعلم), FR-S15 (جهة المعلم)</t>
        </is>
      </c>
      <c r="E11" s="31" t="inlineStr">
        <is>
          <t>teacher.bookings: قبول/رفض/إنهاء + قرار إعادة الجدولة + استبدال لوحة المعلم المعطّلة بعرض حقيقي.</t>
        </is>
      </c>
      <c r="F11" s="31" t="inlineStr">
        <is>
          <t>WP-00</t>
        </is>
      </c>
      <c r="G11" s="31" t="inlineStr">
        <is>
          <t>M</t>
        </is>
      </c>
      <c r="H11" s="31" t="inlineStr">
        <is>
          <t>feat/wp-t5-teacher-bookings</t>
        </is>
      </c>
      <c r="I11" s="30" t="n"/>
      <c r="J11" s="30" t="n"/>
      <c r="K11" s="43">
        <f>COUNTIF(Tasks!$B$5:$B$300,A11)</f>
        <v/>
      </c>
      <c r="L11" s="43">
        <f>COUNTIFS(Tasks!$B$5:$B$300,A11,Tasks!$M$5:$M$300,"مكتمل")</f>
        <v/>
      </c>
      <c r="M11" s="43">
        <f>COUNTIFS(Tasks!$B$5:$B$300,A11,Tasks!$M$5:$M$300,"قيد التنفيذ")+COUNTIFS(Tasks!$B$5:$B$300,A11,Tasks!$M$5:$M$300,"قيد المراجعة")</f>
        <v/>
      </c>
      <c r="N11" s="43">
        <f>COUNTIFS(Tasks!$B$5:$B$300,A11,Tasks!$M$5:$M$300,"متوقف")</f>
        <v/>
      </c>
      <c r="O11" s="47">
        <f>IF(K11=0,0,L11/K11)</f>
        <v/>
      </c>
      <c r="P11" s="43">
        <f>IF(K11=0,"—",IF(L11=K11,"مكتمل",IF(N11&gt;0,"متوقف",IF(L11+M11&gt;0,"قيد التنفيذ","لم يبدأ"))))</f>
        <v/>
      </c>
      <c r="Q11" s="30" t="inlineStr">
        <is>
          <t>لا</t>
        </is>
      </c>
      <c r="R11" s="30" t="n"/>
      <c r="S11" s="30" t="n"/>
    </row>
    <row r="12" ht="42" customHeight="1" s="26">
      <c r="A12" s="41" t="inlineStr">
        <is>
          <t>WP-S1</t>
        </is>
      </c>
      <c r="B12" s="31" t="inlineStr">
        <is>
          <t>الطالب: شاشة إنشاء الحجز</t>
        </is>
      </c>
      <c r="C12" s="31" t="inlineStr">
        <is>
          <t>Wave 1</t>
        </is>
      </c>
      <c r="D12" s="31" t="inlineStr">
        <is>
          <t>FR-T06 (+FR-T05)</t>
        </is>
      </c>
      <c r="E12" s="31" t="inlineStr">
        <is>
          <t>book.$teacherId: اختيار الوضع/التاريخ/الوقت/المادة/الصف + تقدير السعر + فحص الرصيد + إرسال الحجز + تفعيل زر الحجز في صفحة المعلم.</t>
        </is>
      </c>
      <c r="F12" s="31" t="inlineStr">
        <is>
          <t>WP-00</t>
        </is>
      </c>
      <c r="G12" s="31" t="inlineStr">
        <is>
          <t>L</t>
        </is>
      </c>
      <c r="H12" s="31" t="inlineStr">
        <is>
          <t>feat/wp-s1-create-booking</t>
        </is>
      </c>
      <c r="I12" s="30" t="n"/>
      <c r="J12" s="30" t="n"/>
      <c r="K12" s="43">
        <f>COUNTIF(Tasks!$B$5:$B$300,A12)</f>
        <v/>
      </c>
      <c r="L12" s="43">
        <f>COUNTIFS(Tasks!$B$5:$B$300,A12,Tasks!$M$5:$M$300,"مكتمل")</f>
        <v/>
      </c>
      <c r="M12" s="43">
        <f>COUNTIFS(Tasks!$B$5:$B$300,A12,Tasks!$M$5:$M$300,"قيد التنفيذ")+COUNTIFS(Tasks!$B$5:$B$300,A12,Tasks!$M$5:$M$300,"قيد المراجعة")</f>
        <v/>
      </c>
      <c r="N12" s="43">
        <f>COUNTIFS(Tasks!$B$5:$B$300,A12,Tasks!$M$5:$M$300,"متوقف")</f>
        <v/>
      </c>
      <c r="O12" s="47">
        <f>IF(K12=0,0,L12/K12)</f>
        <v/>
      </c>
      <c r="P12" s="43">
        <f>IF(K12=0,"—",IF(L12=K12,"مكتمل",IF(N12&gt;0,"متوقف",IF(L12+M12&gt;0,"قيد التنفيذ","لم يبدأ"))))</f>
        <v/>
      </c>
      <c r="Q12" s="30" t="inlineStr">
        <is>
          <t>لا</t>
        </is>
      </c>
      <c r="R12" s="30" t="n"/>
      <c r="S12" s="30" t="n"/>
    </row>
    <row r="13" ht="42" customHeight="1" s="26">
      <c r="A13" s="41" t="inlineStr">
        <is>
          <t>WP-S2</t>
        </is>
      </c>
      <c r="B13" s="31" t="inlineStr">
        <is>
          <t>الطالب: تفاصيل الحجز + الإلغاء + لوحات كورساتي</t>
        </is>
      </c>
      <c r="C13" s="31" t="inlineStr">
        <is>
          <t>Wave 1</t>
        </is>
      </c>
      <c r="D13" s="31" t="inlineStr">
        <is>
          <t>FR-S14</t>
        </is>
      </c>
      <c r="E13" s="31" t="inlineStr">
        <is>
          <t>booking.$id + إلغاء الحجز + لوحتا (الحجوزات المؤكدة / الطلبات المعلقة) مع سجل المرفوض/الملغى.</t>
        </is>
      </c>
      <c r="F13" s="31" t="inlineStr">
        <is>
          <t>WP-00</t>
        </is>
      </c>
      <c r="G13" s="31" t="inlineStr">
        <is>
          <t>M</t>
        </is>
      </c>
      <c r="H13" s="31" t="inlineStr">
        <is>
          <t>feat/wp-s2-booking-detail-cancel</t>
        </is>
      </c>
      <c r="I13" s="30" t="n"/>
      <c r="J13" s="30" t="n"/>
      <c r="K13" s="43">
        <f>COUNTIF(Tasks!$B$5:$B$300,A13)</f>
        <v/>
      </c>
      <c r="L13" s="43">
        <f>COUNTIFS(Tasks!$B$5:$B$300,A13,Tasks!$M$5:$M$300,"مكتمل")</f>
        <v/>
      </c>
      <c r="M13" s="43">
        <f>COUNTIFS(Tasks!$B$5:$B$300,A13,Tasks!$M$5:$M$300,"قيد التنفيذ")+COUNTIFS(Tasks!$B$5:$B$300,A13,Tasks!$M$5:$M$300,"قيد المراجعة")</f>
        <v/>
      </c>
      <c r="N13" s="43">
        <f>COUNTIFS(Tasks!$B$5:$B$300,A13,Tasks!$M$5:$M$300,"متوقف")</f>
        <v/>
      </c>
      <c r="O13" s="47">
        <f>IF(K13=0,0,L13/K13)</f>
        <v/>
      </c>
      <c r="P13" s="43">
        <f>IF(K13=0,"—",IF(L13=K13,"مكتمل",IF(N13&gt;0,"متوقف",IF(L13+M13&gt;0,"قيد التنفيذ","لم يبدأ"))))</f>
        <v/>
      </c>
      <c r="Q13" s="30" t="inlineStr">
        <is>
          <t>لا</t>
        </is>
      </c>
      <c r="R13" s="30" t="n"/>
      <c r="S13" s="30" t="n"/>
    </row>
    <row r="14" ht="42" customHeight="1" s="26">
      <c r="A14" s="41" t="inlineStr">
        <is>
          <t>WP-S3</t>
        </is>
      </c>
      <c r="B14" s="31" t="inlineStr">
        <is>
          <t>الطالب: طلب إعادة الجدولة</t>
        </is>
      </c>
      <c r="C14" s="31" t="inlineStr">
        <is>
          <t>Wave 1</t>
        </is>
      </c>
      <c r="D14" s="31" t="inlineStr">
        <is>
          <t>FR-S15</t>
        </is>
      </c>
      <c r="E14" s="31" t="inlineStr">
        <is>
          <t>نافذة طلب إعادة جدولة + لوحة تتبع حالة الطلبات.</t>
        </is>
      </c>
      <c r="F14" s="31" t="inlineStr">
        <is>
          <t>WP-00</t>
        </is>
      </c>
      <c r="G14" s="31" t="inlineStr">
        <is>
          <t>S</t>
        </is>
      </c>
      <c r="H14" s="31" t="inlineStr">
        <is>
          <t>feat/wp-s3-reschedule</t>
        </is>
      </c>
      <c r="I14" s="30" t="n"/>
      <c r="J14" s="30" t="n"/>
      <c r="K14" s="43">
        <f>COUNTIF(Tasks!$B$5:$B$300,A14)</f>
        <v/>
      </c>
      <c r="L14" s="43">
        <f>COUNTIFS(Tasks!$B$5:$B$300,A14,Tasks!$M$5:$M$300,"مكتمل")</f>
        <v/>
      </c>
      <c r="M14" s="43">
        <f>COUNTIFS(Tasks!$B$5:$B$300,A14,Tasks!$M$5:$M$300,"قيد التنفيذ")+COUNTIFS(Tasks!$B$5:$B$300,A14,Tasks!$M$5:$M$300,"قيد المراجعة")</f>
        <v/>
      </c>
      <c r="N14" s="43">
        <f>COUNTIFS(Tasks!$B$5:$B$300,A14,Tasks!$M$5:$M$300,"متوقف")</f>
        <v/>
      </c>
      <c r="O14" s="47">
        <f>IF(K14=0,0,L14/K14)</f>
        <v/>
      </c>
      <c r="P14" s="43">
        <f>IF(K14=0,"—",IF(L14=K14,"مكتمل",IF(N14&gt;0,"متوقف",IF(L14+M14&gt;0,"قيد التنفيذ","لم يبدأ"))))</f>
        <v/>
      </c>
      <c r="Q14" s="30" t="inlineStr">
        <is>
          <t>لا</t>
        </is>
      </c>
      <c r="R14" s="30" t="n"/>
      <c r="S14" s="30" t="n"/>
    </row>
    <row r="15" ht="42" customHeight="1" s="26">
      <c r="A15" s="41" t="inlineStr">
        <is>
          <t>WP-S4</t>
        </is>
      </c>
      <c r="B15" s="31" t="inlineStr">
        <is>
          <t>الطالب: تقييم المعلم</t>
        </is>
      </c>
      <c r="C15" s="31" t="inlineStr">
        <is>
          <t>Wave 1</t>
        </is>
      </c>
      <c r="D15" s="31" t="inlineStr">
        <is>
          <t>FR-T11</t>
        </is>
      </c>
      <c r="E15" s="31" t="inlineStr">
        <is>
          <t>نافذة تقييم (نجوم + مراجعة) للحجز المكتمل + منع التكرار + تحديث الكاشات.</t>
        </is>
      </c>
      <c r="F15" s="31" t="inlineStr">
        <is>
          <t>WP-00</t>
        </is>
      </c>
      <c r="G15" s="31" t="inlineStr">
        <is>
          <t>S</t>
        </is>
      </c>
      <c r="H15" s="31" t="inlineStr">
        <is>
          <t>feat/wp-s4-rating</t>
        </is>
      </c>
      <c r="I15" s="30" t="n"/>
      <c r="J15" s="30" t="n"/>
      <c r="K15" s="43">
        <f>COUNTIF(Tasks!$B$5:$B$300,A15)</f>
        <v/>
      </c>
      <c r="L15" s="43">
        <f>COUNTIFS(Tasks!$B$5:$B$300,A15,Tasks!$M$5:$M$300,"مكتمل")</f>
        <v/>
      </c>
      <c r="M15" s="43">
        <f>COUNTIFS(Tasks!$B$5:$B$300,A15,Tasks!$M$5:$M$300,"قيد التنفيذ")+COUNTIFS(Tasks!$B$5:$B$300,A15,Tasks!$M$5:$M$300,"قيد المراجعة")</f>
        <v/>
      </c>
      <c r="N15" s="43">
        <f>COUNTIFS(Tasks!$B$5:$B$300,A15,Tasks!$M$5:$M$300,"متوقف")</f>
        <v/>
      </c>
      <c r="O15" s="47">
        <f>IF(K15=0,0,L15/K15)</f>
        <v/>
      </c>
      <c r="P15" s="43">
        <f>IF(K15=0,"—",IF(L15=K15,"مكتمل",IF(N15&gt;0,"متوقف",IF(L15+M15&gt;0,"قيد التنفيذ","لم يبدأ"))))</f>
        <v/>
      </c>
      <c r="Q15" s="30" t="inlineStr">
        <is>
          <t>لا</t>
        </is>
      </c>
      <c r="R15" s="30" t="n"/>
      <c r="S15" s="30" t="n"/>
    </row>
    <row r="16" ht="42" customHeight="1" s="26">
      <c r="A16" s="41" t="inlineStr">
        <is>
          <t>WP-S5</t>
        </is>
      </c>
      <c r="B16" s="31" t="inlineStr">
        <is>
          <t>الطالب: تفاصيل الدرس (حضوري/أونلاين) + تحسين الجدول</t>
        </is>
      </c>
      <c r="C16" s="31" t="inlineStr">
        <is>
          <t>Wave 1</t>
        </is>
      </c>
      <c r="D16" s="31" t="inlineStr">
        <is>
          <t>FR-S06, FR-S07</t>
        </is>
      </c>
      <c r="E16" s="31" t="inlineStr">
        <is>
          <t>lesson.$id + أعمدة القاعة/المنصة/انضمام في schedule + روابط للتفاصيل.</t>
        </is>
      </c>
      <c r="F16" s="31" t="inlineStr">
        <is>
          <t>WP-00</t>
        </is>
      </c>
      <c r="G16" s="31" t="inlineStr">
        <is>
          <t>M</t>
        </is>
      </c>
      <c r="H16" s="31" t="inlineStr">
        <is>
          <t>feat/wp-s5-lesson-detail</t>
        </is>
      </c>
      <c r="I16" s="30" t="n"/>
      <c r="J16" s="30" t="n"/>
      <c r="K16" s="43">
        <f>COUNTIF(Tasks!$B$5:$B$300,A16)</f>
        <v/>
      </c>
      <c r="L16" s="43">
        <f>COUNTIFS(Tasks!$B$5:$B$300,A16,Tasks!$M$5:$M$300,"مكتمل")</f>
        <v/>
      </c>
      <c r="M16" s="43">
        <f>COUNTIFS(Tasks!$B$5:$B$300,A16,Tasks!$M$5:$M$300,"قيد التنفيذ")+COUNTIFS(Tasks!$B$5:$B$300,A16,Tasks!$M$5:$M$300,"قيد المراجعة")</f>
        <v/>
      </c>
      <c r="N16" s="43">
        <f>COUNTIFS(Tasks!$B$5:$B$300,A16,Tasks!$M$5:$M$300,"متوقف")</f>
        <v/>
      </c>
      <c r="O16" s="47">
        <f>IF(K16=0,0,L16/K16)</f>
        <v/>
      </c>
      <c r="P16" s="43">
        <f>IF(K16=0,"—",IF(L16=K16,"مكتمل",IF(N16&gt;0,"متوقف",IF(L16+M16&gt;0,"قيد التنفيذ","لم يبدأ"))))</f>
        <v/>
      </c>
      <c r="Q16" s="30" t="inlineStr">
        <is>
          <t>لا</t>
        </is>
      </c>
      <c r="R16" s="30" t="n"/>
      <c r="S16" s="30" t="n"/>
    </row>
    <row r="17" ht="42" customHeight="1" s="26">
      <c r="A17" s="41" t="inlineStr">
        <is>
          <t>WP-S6</t>
        </is>
      </c>
      <c r="B17" s="31" t="inlineStr">
        <is>
          <t>الطالب: تفاصيل الكورس المسجَّل</t>
        </is>
      </c>
      <c r="C17" s="31" t="inlineStr">
        <is>
          <t>Wave 1</t>
        </is>
      </c>
      <c r="D17" s="31" t="inlineStr">
        <is>
          <t>FR-S08</t>
        </is>
      </c>
      <c r="E17" s="31" t="inlineStr">
        <is>
          <t>enrolled-course.$id + لوحة (كورساتي المسجّلة).</t>
        </is>
      </c>
      <c r="F17" s="31" t="inlineStr">
        <is>
          <t>WP-00</t>
        </is>
      </c>
      <c r="G17" s="31" t="inlineStr">
        <is>
          <t>M</t>
        </is>
      </c>
      <c r="H17" s="31" t="inlineStr">
        <is>
          <t>feat/wp-s6-enrolled-course</t>
        </is>
      </c>
      <c r="I17" s="30" t="n"/>
      <c r="J17" s="30" t="n"/>
      <c r="K17" s="43">
        <f>COUNTIF(Tasks!$B$5:$B$300,A17)</f>
        <v/>
      </c>
      <c r="L17" s="43">
        <f>COUNTIFS(Tasks!$B$5:$B$300,A17,Tasks!$M$5:$M$300,"مكتمل")</f>
        <v/>
      </c>
      <c r="M17" s="43">
        <f>COUNTIFS(Tasks!$B$5:$B$300,A17,Tasks!$M$5:$M$300,"قيد التنفيذ")+COUNTIFS(Tasks!$B$5:$B$300,A17,Tasks!$M$5:$M$300,"قيد المراجعة")</f>
        <v/>
      </c>
      <c r="N17" s="43">
        <f>COUNTIFS(Tasks!$B$5:$B$300,A17,Tasks!$M$5:$M$300,"متوقف")</f>
        <v/>
      </c>
      <c r="O17" s="47">
        <f>IF(K17=0,0,L17/K17)</f>
        <v/>
      </c>
      <c r="P17" s="43">
        <f>IF(K17=0,"—",IF(L17=K17,"مكتمل",IF(N17&gt;0,"متوقف",IF(L17+M17&gt;0,"قيد التنفيذ","لم يبدأ"))))</f>
        <v/>
      </c>
      <c r="Q17" s="30" t="inlineStr">
        <is>
          <t>لا</t>
        </is>
      </c>
      <c r="R17" s="30" t="n"/>
      <c r="S17" s="30" t="n"/>
    </row>
    <row r="18" ht="42" customHeight="1" s="26">
      <c r="A18" s="41" t="inlineStr">
        <is>
          <t>WP-S7</t>
        </is>
      </c>
      <c r="B18" s="31" t="inlineStr">
        <is>
          <t>الطالب: سجل الحضور</t>
        </is>
      </c>
      <c r="C18" s="31" t="inlineStr">
        <is>
          <t>Wave 1</t>
        </is>
      </c>
      <c r="D18" s="31" t="inlineStr">
        <is>
          <t>FR-S09</t>
        </is>
      </c>
      <c r="E18" s="31" t="inlineStr">
        <is>
          <t>attendance: سجل + نسبة + فلاتر.</t>
        </is>
      </c>
      <c r="F18" s="31" t="inlineStr">
        <is>
          <t>WP-00</t>
        </is>
      </c>
      <c r="G18" s="31" t="inlineStr">
        <is>
          <t>S</t>
        </is>
      </c>
      <c r="H18" s="31" t="inlineStr">
        <is>
          <t>feat/wp-s7-attendance</t>
        </is>
      </c>
      <c r="I18" s="30" t="n"/>
      <c r="J18" s="30" t="n"/>
      <c r="K18" s="43">
        <f>COUNTIF(Tasks!$B$5:$B$300,A18)</f>
        <v/>
      </c>
      <c r="L18" s="43">
        <f>COUNTIFS(Tasks!$B$5:$B$300,A18,Tasks!$M$5:$M$300,"مكتمل")</f>
        <v/>
      </c>
      <c r="M18" s="43">
        <f>COUNTIFS(Tasks!$B$5:$B$300,A18,Tasks!$M$5:$M$300,"قيد التنفيذ")+COUNTIFS(Tasks!$B$5:$B$300,A18,Tasks!$M$5:$M$300,"قيد المراجعة")</f>
        <v/>
      </c>
      <c r="N18" s="43">
        <f>COUNTIFS(Tasks!$B$5:$B$300,A18,Tasks!$M$5:$M$300,"متوقف")</f>
        <v/>
      </c>
      <c r="O18" s="47">
        <f>IF(K18=0,0,L18/K18)</f>
        <v/>
      </c>
      <c r="P18" s="43">
        <f>IF(K18=0,"—",IF(L18=K18,"مكتمل",IF(N18&gt;0,"متوقف",IF(L18+M18&gt;0,"قيد التنفيذ","لم يبدأ"))))</f>
        <v/>
      </c>
      <c r="Q18" s="30" t="inlineStr">
        <is>
          <t>لا</t>
        </is>
      </c>
      <c r="R18" s="30" t="n"/>
      <c r="S18" s="30" t="n"/>
    </row>
    <row r="19" ht="42" customHeight="1" s="26">
      <c r="A19" s="41" t="inlineStr">
        <is>
          <t>WP-S8</t>
        </is>
      </c>
      <c r="B19" s="31" t="inlineStr">
        <is>
          <t>الطالب: نتائج الامتحانات</t>
        </is>
      </c>
      <c r="C19" s="31" t="inlineStr">
        <is>
          <t>Wave 1</t>
        </is>
      </c>
      <c r="D19" s="31" t="inlineStr">
        <is>
          <t>FR-S10</t>
        </is>
      </c>
      <c r="E19" s="31" t="inlineStr">
        <is>
          <t>exam-results: جدول + نسبة + ملاحظات + فلتر كورس.</t>
        </is>
      </c>
      <c r="F19" s="31" t="inlineStr">
        <is>
          <t>WP-00</t>
        </is>
      </c>
      <c r="G19" s="31" t="inlineStr">
        <is>
          <t>S</t>
        </is>
      </c>
      <c r="H19" s="31" t="inlineStr">
        <is>
          <t>feat/wp-s8-exam-results</t>
        </is>
      </c>
      <c r="I19" s="30" t="n"/>
      <c r="J19" s="30" t="n"/>
      <c r="K19" s="43">
        <f>COUNTIF(Tasks!$B$5:$B$300,A19)</f>
        <v/>
      </c>
      <c r="L19" s="43">
        <f>COUNTIFS(Tasks!$B$5:$B$300,A19,Tasks!$M$5:$M$300,"مكتمل")</f>
        <v/>
      </c>
      <c r="M19" s="43">
        <f>COUNTIFS(Tasks!$B$5:$B$300,A19,Tasks!$M$5:$M$300,"قيد التنفيذ")+COUNTIFS(Tasks!$B$5:$B$300,A19,Tasks!$M$5:$M$300,"قيد المراجعة")</f>
        <v/>
      </c>
      <c r="N19" s="43">
        <f>COUNTIFS(Tasks!$B$5:$B$300,A19,Tasks!$M$5:$M$300,"متوقف")</f>
        <v/>
      </c>
      <c r="O19" s="47">
        <f>IF(K19=0,0,L19/K19)</f>
        <v/>
      </c>
      <c r="P19" s="43">
        <f>IF(K19=0,"—",IF(L19=K19,"مكتمل",IF(N19&gt;0,"متوقف",IF(L19+M19&gt;0,"قيد التنفيذ","لم يبدأ"))))</f>
        <v/>
      </c>
      <c r="Q19" s="30" t="inlineStr">
        <is>
          <t>لا</t>
        </is>
      </c>
      <c r="R19" s="30" t="n"/>
      <c r="S19" s="30" t="n"/>
    </row>
    <row r="20" ht="42" customHeight="1" s="26">
      <c r="A20" s="41" t="inlineStr">
        <is>
          <t>WP-S9</t>
        </is>
      </c>
      <c r="B20" s="31" t="inlineStr">
        <is>
          <t>الطالب: التقدم الأكاديمي</t>
        </is>
      </c>
      <c r="C20" s="31" t="inlineStr">
        <is>
          <t>Wave 1</t>
        </is>
      </c>
      <c r="D20" s="31" t="inlineStr">
        <is>
          <t>FR-S11</t>
        </is>
      </c>
      <c r="E20" s="31" t="inlineStr">
        <is>
          <t>progress: مؤشرات الحضور والامتحانات مع معالجة القيم غير المتاحة.</t>
        </is>
      </c>
      <c r="F20" s="31" t="inlineStr">
        <is>
          <t>WP-00</t>
        </is>
      </c>
      <c r="G20" s="31" t="inlineStr">
        <is>
          <t>S</t>
        </is>
      </c>
      <c r="H20" s="31" t="inlineStr">
        <is>
          <t>feat/wp-s9-progress</t>
        </is>
      </c>
      <c r="I20" s="30" t="n"/>
      <c r="J20" s="30" t="n"/>
      <c r="K20" s="43">
        <f>COUNTIF(Tasks!$B$5:$B$300,A20)</f>
        <v/>
      </c>
      <c r="L20" s="43">
        <f>COUNTIFS(Tasks!$B$5:$B$300,A20,Tasks!$M$5:$M$300,"مكتمل")</f>
        <v/>
      </c>
      <c r="M20" s="43">
        <f>COUNTIFS(Tasks!$B$5:$B$300,A20,Tasks!$M$5:$M$300,"قيد التنفيذ")+COUNTIFS(Tasks!$B$5:$B$300,A20,Tasks!$M$5:$M$300,"قيد المراجعة")</f>
        <v/>
      </c>
      <c r="N20" s="43">
        <f>COUNTIFS(Tasks!$B$5:$B$300,A20,Tasks!$M$5:$M$300,"متوقف")</f>
        <v/>
      </c>
      <c r="O20" s="47">
        <f>IF(K20=0,0,L20/K20)</f>
        <v/>
      </c>
      <c r="P20" s="43">
        <f>IF(K20=0,"—",IF(L20=K20,"مكتمل",IF(N20&gt;0,"متوقف",IF(L20+M20&gt;0,"قيد التنفيذ","لم يبدأ"))))</f>
        <v/>
      </c>
      <c r="Q20" s="30" t="inlineStr">
        <is>
          <t>لا</t>
        </is>
      </c>
      <c r="R20" s="30" t="n"/>
      <c r="S20" s="30" t="n"/>
    </row>
    <row r="21" ht="42" customHeight="1" s="26">
      <c r="A21" s="41" t="inlineStr">
        <is>
          <t>WP-P1</t>
        </is>
      </c>
      <c r="B21" s="31" t="inlineStr">
        <is>
          <t>ولي الأمر: عدد الإشعارات + تقييد الوصول + تحسينات التقرير</t>
        </is>
      </c>
      <c r="C21" s="31" t="inlineStr">
        <is>
          <t>Wave 1</t>
        </is>
      </c>
      <c r="D21" s="31" t="inlineStr">
        <is>
          <t>FR-P11, FR-P08</t>
        </is>
      </c>
      <c r="E21" s="31" t="inlineStr">
        <is>
          <t>عرض unreadNotificationsCount + معالجة 403 + حالة الحضور + بانر قراءة فقط.</t>
        </is>
      </c>
      <c r="F21" s="31" t="inlineStr">
        <is>
          <t>WP-00</t>
        </is>
      </c>
      <c r="G21" s="31" t="inlineStr">
        <is>
          <t>S</t>
        </is>
      </c>
      <c r="H21" s="31" t="inlineStr">
        <is>
          <t>feat/wp-p1-parent</t>
        </is>
      </c>
      <c r="I21" s="30" t="n"/>
      <c r="J21" s="30" t="n"/>
      <c r="K21" s="43">
        <f>COUNTIF(Tasks!$B$5:$B$300,A21)</f>
        <v/>
      </c>
      <c r="L21" s="43">
        <f>COUNTIFS(Tasks!$B$5:$B$300,A21,Tasks!$M$5:$M$300,"مكتمل")</f>
        <v/>
      </c>
      <c r="M21" s="43">
        <f>COUNTIFS(Tasks!$B$5:$B$300,A21,Tasks!$M$5:$M$300,"قيد التنفيذ")+COUNTIFS(Tasks!$B$5:$B$300,A21,Tasks!$M$5:$M$300,"قيد المراجعة")</f>
        <v/>
      </c>
      <c r="N21" s="43">
        <f>COUNTIFS(Tasks!$B$5:$B$300,A21,Tasks!$M$5:$M$300,"متوقف")</f>
        <v/>
      </c>
      <c r="O21" s="47">
        <f>IF(K21=0,0,L21/K21)</f>
        <v/>
      </c>
      <c r="P21" s="43">
        <f>IF(K21=0,"—",IF(L21=K21,"مكتمل",IF(N21&gt;0,"متوقف",IF(L21+M21&gt;0,"قيد التنفيذ","لم يبدأ"))))</f>
        <v/>
      </c>
      <c r="Q21" s="30" t="inlineStr">
        <is>
          <t>لا</t>
        </is>
      </c>
      <c r="R21" s="30" t="n"/>
      <c r="S21" s="30" t="n"/>
    </row>
    <row r="22" ht="42" customHeight="1" s="26">
      <c r="A22" s="41" t="inlineStr">
        <is>
          <t>WP-W1</t>
        </is>
      </c>
      <c r="B22" s="31" t="inlineStr">
        <is>
          <t>المحفظة (طالب): الخصم وحالة الدفع</t>
        </is>
      </c>
      <c r="C22" s="31" t="inlineStr">
        <is>
          <t>Wave 1</t>
        </is>
      </c>
      <c r="D22" s="31" t="inlineStr">
        <is>
          <t>FR-W03a</t>
        </is>
      </c>
      <c r="E22" s="31" t="inlineStr">
        <is>
          <t>بطاقة حالة دفع الحجز + تنبيه الرصيد غير الكافي + وضوح حركات الخصم بسجل المحفظة.</t>
        </is>
      </c>
      <c r="F22" s="31" t="inlineStr">
        <is>
          <t>WP-00</t>
        </is>
      </c>
      <c r="G22" s="31" t="inlineStr">
        <is>
          <t>M</t>
        </is>
      </c>
      <c r="H22" s="31" t="inlineStr">
        <is>
          <t>feat/wp-w1-wallet-deduction</t>
        </is>
      </c>
      <c r="I22" s="30" t="n"/>
      <c r="J22" s="30" t="n"/>
      <c r="K22" s="43">
        <f>COUNTIF(Tasks!$B$5:$B$300,A22)</f>
        <v/>
      </c>
      <c r="L22" s="43">
        <f>COUNTIFS(Tasks!$B$5:$B$300,A22,Tasks!$M$5:$M$300,"مكتمل")</f>
        <v/>
      </c>
      <c r="M22" s="43">
        <f>COUNTIFS(Tasks!$B$5:$B$300,A22,Tasks!$M$5:$M$300,"قيد التنفيذ")+COUNTIFS(Tasks!$B$5:$B$300,A22,Tasks!$M$5:$M$300,"قيد المراجعة")</f>
        <v/>
      </c>
      <c r="N22" s="43">
        <f>COUNTIFS(Tasks!$B$5:$B$300,A22,Tasks!$M$5:$M$300,"متوقف")</f>
        <v/>
      </c>
      <c r="O22" s="47">
        <f>IF(K22=0,0,L22/K22)</f>
        <v/>
      </c>
      <c r="P22" s="43">
        <f>IF(K22=0,"—",IF(L22=K22,"مكتمل",IF(N22&gt;0,"متوقف",IF(L22+M22&gt;0,"قيد التنفيذ","لم يبدأ"))))</f>
        <v/>
      </c>
      <c r="Q22" s="30" t="inlineStr">
        <is>
          <t>لا</t>
        </is>
      </c>
      <c r="R22" s="30" t="n"/>
      <c r="S22" s="30" t="n"/>
    </row>
    <row r="23" ht="42" customHeight="1" s="26">
      <c r="A23" s="41" t="inlineStr">
        <is>
          <t>WP-W2</t>
        </is>
      </c>
      <c r="B23" s="31" t="inlineStr">
        <is>
          <t>المحفظة (معلم): إيداع الأرباح بعد العمولة</t>
        </is>
      </c>
      <c r="C23" s="31" t="inlineStr">
        <is>
          <t>Wave 1</t>
        </is>
      </c>
      <c r="D23" s="31" t="inlineStr">
        <is>
          <t>FR-W03b</t>
        </is>
      </c>
      <c r="E23" s="31" t="inlineStr">
        <is>
          <t>teacher.earnings: عرض إيداعات الأرباح + توضيح العمولة بصدق.</t>
        </is>
      </c>
      <c r="F23" s="31" t="inlineStr">
        <is>
          <t>WP-00</t>
        </is>
      </c>
      <c r="G23" s="31" t="inlineStr">
        <is>
          <t>S</t>
        </is>
      </c>
      <c r="H23" s="31" t="inlineStr">
        <is>
          <t>feat/wp-w2-earnings</t>
        </is>
      </c>
      <c r="I23" s="30" t="n"/>
      <c r="J23" s="30" t="n"/>
      <c r="K23" s="43">
        <f>COUNTIF(Tasks!$B$5:$B$300,A23)</f>
        <v/>
      </c>
      <c r="L23" s="43">
        <f>COUNTIFS(Tasks!$B$5:$B$300,A23,Tasks!$M$5:$M$300,"مكتمل")</f>
        <v/>
      </c>
      <c r="M23" s="43">
        <f>COUNTIFS(Tasks!$B$5:$B$300,A23,Tasks!$M$5:$M$300,"قيد التنفيذ")+COUNTIFS(Tasks!$B$5:$B$300,A23,Tasks!$M$5:$M$300,"قيد المراجعة")</f>
        <v/>
      </c>
      <c r="N23" s="43">
        <f>COUNTIFS(Tasks!$B$5:$B$300,A23,Tasks!$M$5:$M$300,"متوقف")</f>
        <v/>
      </c>
      <c r="O23" s="47">
        <f>IF(K23=0,0,L23/K23)</f>
        <v/>
      </c>
      <c r="P23" s="43">
        <f>IF(K23=0,"—",IF(L23=K23,"مكتمل",IF(N23&gt;0,"متوقف",IF(L23+M23&gt;0,"قيد التنفيذ","لم يبدأ"))))</f>
        <v/>
      </c>
      <c r="Q23" s="30" t="inlineStr">
        <is>
          <t>لا</t>
        </is>
      </c>
      <c r="R23" s="30" t="n"/>
      <c r="S23" s="30" t="n"/>
    </row>
    <row r="24" ht="42" customHeight="1" s="26">
      <c r="A24" s="41" t="inlineStr">
        <is>
          <t>WP-QA</t>
        </is>
      </c>
      <c r="B24" s="31" t="inlineStr">
        <is>
          <t>التكامل والاختبار والتوثيق</t>
        </is>
      </c>
      <c r="C24" s="31" t="inlineStr">
        <is>
          <t>Wave 2</t>
        </is>
      </c>
      <c r="D24" s="31" t="inlineStr">
        <is>
          <t>الكل</t>
        </is>
      </c>
      <c r="E24" s="31" t="inlineStr">
        <is>
          <t>validate أخضر + e2e + تشغيل UAT + RTL/موبايل + تحديث README/CHANGELOG/ATLAS + إعادة التدقيق.</t>
        </is>
      </c>
      <c r="F24" s="31" t="inlineStr">
        <is>
          <t>كل WP من Wave 1</t>
        </is>
      </c>
      <c r="G24" s="31" t="inlineStr">
        <is>
          <t>L</t>
        </is>
      </c>
      <c r="H24" s="31" t="inlineStr">
        <is>
          <t>feat/wp-qa-integration</t>
        </is>
      </c>
      <c r="I24" s="30" t="n"/>
      <c r="J24" s="30" t="n"/>
      <c r="K24" s="43">
        <f>COUNTIF(Tasks!$B$5:$B$300,A24)</f>
        <v/>
      </c>
      <c r="L24" s="43">
        <f>COUNTIFS(Tasks!$B$5:$B$300,A24,Tasks!$M$5:$M$300,"مكتمل")</f>
        <v/>
      </c>
      <c r="M24" s="43">
        <f>COUNTIFS(Tasks!$B$5:$B$300,A24,Tasks!$M$5:$M$300,"قيد التنفيذ")+COUNTIFS(Tasks!$B$5:$B$300,A24,Tasks!$M$5:$M$300,"قيد المراجعة")</f>
        <v/>
      </c>
      <c r="N24" s="43">
        <f>COUNTIFS(Tasks!$B$5:$B$300,A24,Tasks!$M$5:$M$300,"متوقف")</f>
        <v/>
      </c>
      <c r="O24" s="47">
        <f>IF(K24=0,0,L24/K24)</f>
        <v/>
      </c>
      <c r="P24" s="43">
        <f>IF(K24=0,"—",IF(L24=K24,"مكتمل",IF(N24&gt;0,"متوقف",IF(L24+M24&gt;0,"قيد التنفيذ","لم يبدأ"))))</f>
        <v/>
      </c>
      <c r="Q24" s="30" t="inlineStr">
        <is>
          <t>لا</t>
        </is>
      </c>
      <c r="R24" s="30" t="n"/>
      <c r="S24" s="30" t="n"/>
    </row>
  </sheetData>
  <autoFilter ref="A4:S24"/>
  <conditionalFormatting sqref="P5:P24">
    <cfRule type="cellIs" rank="0" priority="2" equalAverage="0" operator="equal" aboveAverage="0" dxfId="1" text="" percent="0" bottom="0">
      <formula>"مكتمل"</formula>
    </cfRule>
    <cfRule type="cellIs" rank="0" priority="3" equalAverage="0" operator="equal" aboveAverage="0" dxfId="2" text="" percent="0" bottom="0">
      <formula>"قيد التنفيذ"</formula>
    </cfRule>
    <cfRule type="cellIs" rank="0" priority="4" equalAverage="0" operator="equal" aboveAverage="0" dxfId="3" text="" percent="0" bottom="0">
      <formula>"قيد المراجعة"</formula>
    </cfRule>
    <cfRule type="cellIs" rank="0" priority="5" equalAverage="0" operator="equal" aboveAverage="0" dxfId="0" text="" percent="0" bottom="0">
      <formula>"متوقف"</formula>
    </cfRule>
    <cfRule type="cellIs" rank="0" priority="6" equalAverage="0" operator="equal" aboveAverage="0" dxfId="4" text="" percent="0" bottom="0">
      <formula>"مؤجل"</formula>
    </cfRule>
  </conditionalFormatting>
  <conditionalFormatting sqref="O5:O24">
    <cfRule type="dataBar" priority="7">
      <dataBar minLength="10" maxLength="90" showValue="1">
        <cfvo type="num" val="0"/>
        <cfvo type="num" val="1"/>
        <color rgb="FF63BE7B"/>
      </dataBar>
    </cfRule>
  </conditionalFormatting>
  <dataValidations count="1">
    <dataValidation sqref="Q5:Q24" showDropDown="0" showInputMessage="0" showErrorMessage="1" allowBlank="1" errorTitle="قيمة غير مسموحة" error="اختر من القائمة" type="list" errorStyle="stop" operator="between">
      <formula1>Lists!$K$2:$K$3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C00000"/>
    <outlinePr summaryBelow="1" summaryRight="1"/>
    <pageSetUpPr fitToPage="0"/>
  </sheetPr>
  <dimension ref="A1:X133"/>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25" min="1" max="1"/>
    <col width="9" customWidth="1" style="25" min="2" max="3"/>
    <col width="11" customWidth="1" style="25" min="4" max="4"/>
    <col width="10" customWidth="1" style="25" min="5" max="5"/>
    <col width="34" customWidth="1" style="25" min="6" max="6"/>
    <col width="60" customWidth="1" style="25" min="7" max="7"/>
    <col width="44" customWidth="1" style="25" min="8" max="8"/>
    <col width="30" customWidth="1" style="25" min="9" max="9"/>
    <col width="14" customWidth="1" style="25" min="10" max="10"/>
    <col width="9" customWidth="1" style="25" min="11" max="11"/>
    <col width="7" customWidth="1" style="25" min="12" max="12"/>
    <col width="13" customWidth="1" style="25" min="13" max="14"/>
    <col width="12" customWidth="1" style="25" min="15" max="15"/>
    <col width="26" customWidth="1" style="25" min="16" max="16"/>
    <col width="11" customWidth="1" style="25" min="17" max="18"/>
    <col width="14" customWidth="1" style="25" min="19" max="19"/>
    <col width="30" customWidth="1" style="25" min="20" max="20"/>
    <col width="12" customWidth="1" style="25" min="21" max="21"/>
    <col width="26" customWidth="1" style="25" min="22" max="22"/>
    <col width="10" customWidth="1" style="25" min="23" max="23"/>
    <col width="30" customWidth="1" style="25" min="24" max="24"/>
  </cols>
  <sheetData>
    <row r="1" ht="42" customHeight="1" s="26">
      <c r="A1" s="27" t="inlineStr">
        <is>
          <t>المهام التفصيلية (Tasks)</t>
        </is>
      </c>
      <c r="B1" s="28"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row>
    <row r="2" ht="42" customHeight="1" s="26">
      <c r="A2" s="32" t="inlineStr">
        <is>
          <t>المصدر الوحيد لحالة العمل. حدّث الأعمدة الصفراء فقط (الحالة، المسؤول، الجلسة، التواريخ، التحقق، الملاحظات). الأعمدة الزرقاء صيغ.</t>
        </is>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row>
    <row r="3" ht="42" customHeight="1" s="26">
      <c r="A3" s="28" t="n"/>
      <c r="B3" s="28" t="n"/>
      <c r="C3" s="28" t="n"/>
      <c r="D3" s="28" t="n"/>
      <c r="E3" s="28" t="n"/>
      <c r="F3" s="28" t="n"/>
      <c r="G3" s="28" t="n"/>
      <c r="H3" s="28" t="n"/>
      <c r="I3" s="28" t="n"/>
      <c r="J3" s="28" t="n"/>
      <c r="K3" s="28" t="n"/>
      <c r="L3" s="28" t="n"/>
      <c r="M3" s="28" t="n"/>
      <c r="N3" s="28" t="n"/>
      <c r="O3" s="28" t="n"/>
      <c r="P3" s="28" t="n"/>
      <c r="Q3" s="28" t="n"/>
      <c r="R3" s="28" t="n"/>
      <c r="S3" s="28" t="n"/>
      <c r="T3" s="28" t="n"/>
      <c r="U3" s="28" t="n"/>
      <c r="V3" s="28" t="n"/>
      <c r="W3" s="28" t="n"/>
      <c r="X3" s="28" t="n"/>
    </row>
    <row r="4" ht="42" customHeight="1" s="26">
      <c r="A4" s="40" t="inlineStr">
        <is>
          <t>ID</t>
        </is>
      </c>
      <c r="B4" s="40" t="inlineStr">
        <is>
          <t>WP</t>
        </is>
      </c>
      <c r="C4" s="40" t="inlineStr">
        <is>
          <t>Wave</t>
        </is>
      </c>
      <c r="D4" s="40" t="inlineStr">
        <is>
          <t>FR (أساسي)</t>
        </is>
      </c>
      <c r="E4" s="40" t="inlineStr">
        <is>
          <t>النوع</t>
        </is>
      </c>
      <c r="F4" s="40" t="inlineStr">
        <is>
          <t>المهمة</t>
        </is>
      </c>
      <c r="G4" s="40" t="inlineStr">
        <is>
          <t>التفاصيل / معيار القبول</t>
        </is>
      </c>
      <c r="H4" s="40" t="inlineStr">
        <is>
          <t>الملفات (تحت src/ ما لم يُذكر)</t>
        </is>
      </c>
      <c r="I4" s="40" t="inlineStr">
        <is>
          <t>Endpoints</t>
        </is>
      </c>
      <c r="J4" s="40" t="inlineStr">
        <is>
          <t>تعتمد على</t>
        </is>
      </c>
      <c r="K4" s="40" t="inlineStr">
        <is>
          <t>الأولوية</t>
        </is>
      </c>
      <c r="L4" s="40" t="inlineStr">
        <is>
          <t>الحجم</t>
        </is>
      </c>
      <c r="M4" s="40" t="inlineStr">
        <is>
          <t>الحالة</t>
        </is>
      </c>
      <c r="N4" s="40" t="inlineStr">
        <is>
          <t>المسؤول</t>
        </is>
      </c>
      <c r="O4" s="40" t="inlineStr">
        <is>
          <t>الجلسة/Run</t>
        </is>
      </c>
      <c r="P4" s="40" t="inlineStr">
        <is>
          <t>الفرع (من WP)</t>
        </is>
      </c>
      <c r="Q4" s="40" t="inlineStr">
        <is>
          <t>بدأ</t>
        </is>
      </c>
      <c r="R4" s="40" t="inlineStr">
        <is>
          <t>اكتمل</t>
        </is>
      </c>
      <c r="S4" s="40" t="inlineStr">
        <is>
          <t>تم التحقق؟ (validate+UAT)</t>
        </is>
      </c>
      <c r="T4" s="40" t="inlineStr">
        <is>
          <t>ملاحظات</t>
        </is>
      </c>
      <c r="U4" s="40" t="inlineStr">
        <is>
          <t>يعتمد على JSON؟</t>
        </is>
      </c>
      <c r="V4" s="40" t="inlineStr">
        <is>
          <t>بوابة البدء</t>
        </is>
      </c>
      <c r="W4" s="40" t="inlineStr">
        <is>
          <t>ينتظر (NE)</t>
        </is>
      </c>
      <c r="X4" s="40" t="inlineStr">
        <is>
          <t>حالة الاعتماد (محسوبة)</t>
        </is>
      </c>
    </row>
    <row r="5" ht="42" customHeight="1" s="26">
      <c r="A5" s="41" t="inlineStr">
        <is>
          <t>00-01</t>
        </is>
      </c>
      <c r="B5" s="31" t="inlineStr">
        <is>
          <t>WP-00</t>
        </is>
      </c>
      <c r="C5" s="43">
        <f>IFERROR(INDEX(WorkPackages!$C$5:$C$40,MATCH(B5,WorkPackages!$A$5:$A$40,0)),"")</f>
        <v/>
      </c>
      <c r="D5" s="31" t="inlineStr">
        <is>
          <t>عام</t>
        </is>
      </c>
      <c r="E5" s="31" t="inlineStr">
        <is>
          <t>API</t>
        </is>
      </c>
      <c r="F5" s="31" t="inlineStr">
        <is>
          <t>مواءمة bookings.ts مع Swagger</t>
        </is>
      </c>
      <c r="G5" s="31" t="inlineStr">
        <is>
          <t>BookingInput = {teacherId, subjectId, gradeId, teachingMode(1|2), date, startTime, durationMinutes, studentNote}. decide يرسل accept (وليس approve). rate يرسل ratingValue + review. كل الدوال ترجع OperationResult (وليس BookingRow). الحالات أرقام 1..6. (طلبات الكتابة + OperationResult؛ ردود القوائم = PendingResponse)</t>
        </is>
      </c>
      <c r="H5" s="31" t="inlineStr">
        <is>
          <t>integrations/backend/bookings.ts</t>
        </is>
      </c>
      <c r="I5" s="31" t="inlineStr">
        <is>
          <t>Booking/Submit, Decide, Cancel, Complete, Rate, MyBookings, TeacherBookings</t>
        </is>
      </c>
      <c r="J5" s="31" t="inlineStr">
        <is>
          <t>—</t>
        </is>
      </c>
      <c r="K5" s="31" t="inlineStr">
        <is>
          <t>P0</t>
        </is>
      </c>
      <c r="L5" s="31" t="inlineStr">
        <is>
          <t>M</t>
        </is>
      </c>
      <c r="M5" s="30" t="inlineStr">
        <is>
          <t>قيد المراجعة</t>
        </is>
      </c>
      <c r="N5" s="30" t="inlineStr">
        <is>
          <t>Claude</t>
        </is>
      </c>
      <c r="O5" s="30" t="inlineStr">
        <is>
          <t>W0</t>
        </is>
      </c>
      <c r="P5" s="43">
        <f>IFERROR(INDEX(WorkPackages!$H$5:$H$40,MATCH(B5,WorkPackages!$A$5:$A$40,0)),"")</f>
        <v/>
      </c>
      <c r="Q5" s="42" t="n"/>
      <c r="R5" s="42" t="n"/>
      <c r="S5" s="30" t="inlineStr">
        <is>
          <t>لا</t>
        </is>
      </c>
      <c r="T5" s="30" t="inlineStr">
        <is>
          <t>سُلِّم في wp-00-files.zip؛ بانتظار 00-17 (routeTree + validate محليًا)</t>
        </is>
      </c>
      <c r="U5" s="31" t="inlineStr">
        <is>
          <t>لا</t>
        </is>
      </c>
      <c r="V5" s="31" t="inlineStr">
        <is>
          <t>WP-00 (سُلِّم — بانتظار validate)</t>
        </is>
      </c>
      <c r="W5" s="31" t="n"/>
      <c r="X5" s="43">
        <f>IF(W5="","—",IFERROR(IF(INDEX(BackendChecklist!$H$5:$H$30,MATCH(W5,BackendChecklist!$A$5:$A$30,0))="نعم","جاهز للبدء",IF(V5="الآن (بنمط seam)","يبدأ بنمط seam — الربط ينتظر","ينتظر الباك اند")),"؟"))</f>
        <v/>
      </c>
    </row>
    <row r="6" ht="42" customHeight="1" s="26">
      <c r="A6" s="41" t="inlineStr">
        <is>
          <t>00-02</t>
        </is>
      </c>
      <c r="B6" s="31" t="inlineStr">
        <is>
          <t>WP-00</t>
        </is>
      </c>
      <c r="C6" s="43">
        <f>IFERROR(INDEX(WorkPackages!$C$5:$C$40,MATCH(B6,WorkPackages!$A$5:$A$40,0)),"")</f>
        <v/>
      </c>
      <c r="D6" s="31" t="inlineStr">
        <is>
          <t>عام</t>
        </is>
      </c>
      <c r="E6" s="31" t="inlineStr">
        <is>
          <t>API</t>
        </is>
      </c>
      <c r="F6" s="31" t="inlineStr">
        <is>
          <t>إضافة دوال إعادة الجدولة (جهة المعلم)</t>
        </is>
      </c>
      <c r="G6" s="31" t="inlineStr">
        <is>
          <t>listTeacherRescheduleRequests(status?) + decideReschedule({requestId, approve, rejectionReason}).</t>
        </is>
      </c>
      <c r="H6" s="31" t="inlineStr">
        <is>
          <t>integrations/backend/bookings.ts</t>
        </is>
      </c>
      <c r="I6" s="31" t="inlineStr">
        <is>
          <t>Booking/TeacherRescheduleRequests, DecideReschedule</t>
        </is>
      </c>
      <c r="J6" s="31" t="inlineStr">
        <is>
          <t>00-01</t>
        </is>
      </c>
      <c r="K6" s="31" t="inlineStr">
        <is>
          <t>P0</t>
        </is>
      </c>
      <c r="L6" s="31" t="inlineStr">
        <is>
          <t>S</t>
        </is>
      </c>
      <c r="M6" s="30" t="inlineStr">
        <is>
          <t>قيد المراجعة</t>
        </is>
      </c>
      <c r="N6" s="30" t="inlineStr">
        <is>
          <t>Claude</t>
        </is>
      </c>
      <c r="O6" s="30" t="inlineStr">
        <is>
          <t>W0</t>
        </is>
      </c>
      <c r="P6" s="43">
        <f>IFERROR(INDEX(WorkPackages!$H$5:$H$40,MATCH(B6,WorkPackages!$A$5:$A$40,0)),"")</f>
        <v/>
      </c>
      <c r="Q6" s="42" t="n"/>
      <c r="R6" s="42" t="n"/>
      <c r="S6" s="30" t="inlineStr">
        <is>
          <t>لا</t>
        </is>
      </c>
      <c r="T6" s="30" t="inlineStr">
        <is>
          <t>سُلِّم في wp-00-files.zip؛ بانتظار 00-17 (routeTree + validate محليًا)</t>
        </is>
      </c>
      <c r="U6" s="31" t="inlineStr">
        <is>
          <t>لا</t>
        </is>
      </c>
      <c r="V6" s="31" t="inlineStr">
        <is>
          <t>WP-00 (سُلِّم — بانتظار validate)</t>
        </is>
      </c>
      <c r="W6" s="31" t="n"/>
      <c r="X6" s="43">
        <f>IF(W6="","—",IFERROR(IF(INDEX(BackendChecklist!$H$5:$H$30,MATCH(W6,BackendChecklist!$A$5:$A$30,0))="نعم","جاهز للبدء",IF(V6="الآن (بنمط seam)","يبدأ بنمط seam — الربط ينتظر","ينتظر الباك اند")),"؟"))</f>
        <v/>
      </c>
    </row>
    <row r="7" ht="42" customHeight="1" s="26">
      <c r="A7" s="41" t="inlineStr">
        <is>
          <t>00-03</t>
        </is>
      </c>
      <c r="B7" s="31" t="inlineStr">
        <is>
          <t>WP-00</t>
        </is>
      </c>
      <c r="C7" s="43">
        <f>IFERROR(INDEX(WorkPackages!$C$5:$C$40,MATCH(B7,WorkPackages!$A$5:$A$40,0)),"")</f>
        <v/>
      </c>
      <c r="D7" s="31" t="inlineStr">
        <is>
          <t>عام</t>
        </is>
      </c>
      <c r="E7" s="31" t="inlineStr">
        <is>
          <t>API</t>
        </is>
      </c>
      <c r="F7" s="31" t="inlineStr">
        <is>
          <t>مواءمة lessons.ts</t>
        </is>
      </c>
      <c r="G7" s="31" t="inlineStr">
        <is>
          <t>Create/Update/ConfigureMeeting/Cancel ترجع OperationResult؛ getLessonSchedule بنوع مرن حسب العينة Q-05؛ توحيد MeetingPlatform عبر enums.ts. (GetSchedule = PendingResponse)</t>
        </is>
      </c>
      <c r="H7" s="31" t="inlineStr">
        <is>
          <t>integrations/backend/lessons.ts</t>
        </is>
      </c>
      <c r="I7" s="31" t="inlineStr">
        <is>
          <t>Lesson/Create, Update, ConfigureMeeting, Cancel, GetSchedule</t>
        </is>
      </c>
      <c r="J7" s="31" t="inlineStr">
        <is>
          <t>00-07</t>
        </is>
      </c>
      <c r="K7" s="31" t="inlineStr">
        <is>
          <t>P0</t>
        </is>
      </c>
      <c r="L7" s="31" t="inlineStr">
        <is>
          <t>S</t>
        </is>
      </c>
      <c r="M7" s="30" t="inlineStr">
        <is>
          <t>قيد المراجعة</t>
        </is>
      </c>
      <c r="N7" s="30" t="inlineStr">
        <is>
          <t>Claude</t>
        </is>
      </c>
      <c r="O7" s="30" t="inlineStr">
        <is>
          <t>W0</t>
        </is>
      </c>
      <c r="P7" s="43">
        <f>IFERROR(INDEX(WorkPackages!$H$5:$H$40,MATCH(B7,WorkPackages!$A$5:$A$40,0)),"")</f>
        <v/>
      </c>
      <c r="Q7" s="42" t="n"/>
      <c r="R7" s="42" t="n"/>
      <c r="S7" s="30" t="inlineStr">
        <is>
          <t>لا</t>
        </is>
      </c>
      <c r="T7" s="30" t="inlineStr">
        <is>
          <t>سُلِّم في wp-00-files.zip؛ بانتظار 00-17 (routeTree + validate محليًا)</t>
        </is>
      </c>
      <c r="U7" s="31" t="inlineStr">
        <is>
          <t>لا</t>
        </is>
      </c>
      <c r="V7" s="31" t="inlineStr">
        <is>
          <t>WP-00 (سُلِّم — بانتظار validate)</t>
        </is>
      </c>
      <c r="W7" s="31" t="n"/>
      <c r="X7" s="43">
        <f>IF(W7="","—",IFERROR(IF(INDEX(BackendChecklist!$H$5:$H$30,MATCH(W7,BackendChecklist!$A$5:$A$30,0))="نعم","جاهز للبدء",IF(V7="الآن (بنمط seam)","يبدأ بنمط seam — الربط ينتظر","ينتظر الباك اند")),"؟"))</f>
        <v/>
      </c>
    </row>
    <row r="8" ht="42" customHeight="1" s="26">
      <c r="A8" s="41" t="inlineStr">
        <is>
          <t>00-04</t>
        </is>
      </c>
      <c r="B8" s="31" t="inlineStr">
        <is>
          <t>WP-00</t>
        </is>
      </c>
      <c r="C8" s="43">
        <f>IFERROR(INDEX(WorkPackages!$C$5:$C$40,MATCH(B8,WorkPackages!$A$5:$A$40,0)),"")</f>
        <v/>
      </c>
      <c r="D8" s="31" t="inlineStr">
        <is>
          <t>عام</t>
        </is>
      </c>
      <c r="E8" s="31" t="inlineStr">
        <is>
          <t>API</t>
        </is>
      </c>
      <c r="F8" s="31" t="inlineStr">
        <is>
          <t>إضافة دوال الكورسات الناقصة</t>
        </is>
      </c>
      <c r="G8" s="31" t="inlineStr">
        <is>
          <t>createEditCourse(CourseInput) + configureGroupSchedule(input) + getGroupStudents(groupId, keyword?) + getMyCourse(id) + listMyCourses() (حسب Q-01) + نوع TeacherCourseDetail (حسب Q-02/Q-05).</t>
        </is>
      </c>
      <c r="H8" s="31" t="inlineStr">
        <is>
          <t>createEditCourse(CourseInput) + configureGroupSchedule(input) + getGroupStudents(groupId, keyword?) + getMyCourse(id) + listMyCourses(). أجسام الطلب من Swagger؛ كل رد غير موثّق = PendingResponse (يُستبدل في WP-J).</t>
        </is>
      </c>
      <c r="I8" s="31" t="inlineStr">
        <is>
          <t>Course/CreateEdit, ConfigureGroupSchedule, GetGroupStudents, GetMineById, GetAll</t>
        </is>
      </c>
      <c r="J8" s="31" t="inlineStr">
        <is>
          <t>00-06, 00-07, 00-21</t>
        </is>
      </c>
      <c r="K8" s="31" t="inlineStr">
        <is>
          <t>P0</t>
        </is>
      </c>
      <c r="L8" s="31" t="inlineStr">
        <is>
          <t>M</t>
        </is>
      </c>
      <c r="M8" s="30" t="inlineStr">
        <is>
          <t>قيد المراجعة</t>
        </is>
      </c>
      <c r="N8" s="30" t="inlineStr">
        <is>
          <t>Claude</t>
        </is>
      </c>
      <c r="O8" s="30" t="inlineStr">
        <is>
          <t>W0</t>
        </is>
      </c>
      <c r="P8" s="43">
        <f>IFERROR(INDEX(WorkPackages!$H$5:$H$40,MATCH(B8,WorkPackages!$A$5:$A$40,0)),"")</f>
        <v/>
      </c>
      <c r="Q8" s="42" t="n"/>
      <c r="R8" s="42" t="n"/>
      <c r="S8" s="30" t="inlineStr">
        <is>
          <t>لا</t>
        </is>
      </c>
      <c r="T8" s="30" t="inlineStr">
        <is>
          <t>سُلِّم في wp-00-files.zip؛ بانتظار 00-17 (routeTree + validate محليًا)</t>
        </is>
      </c>
      <c r="U8" s="31" t="inlineStr">
        <is>
          <t>لا</t>
        </is>
      </c>
      <c r="V8" s="31" t="inlineStr">
        <is>
          <t>WP-00 (سُلِّم — بانتظار validate)</t>
        </is>
      </c>
      <c r="W8" s="31" t="n"/>
      <c r="X8" s="43">
        <f>IF(W8="","—",IFERROR(IF(INDEX(BackendChecklist!$H$5:$H$30,MATCH(W8,BackendChecklist!$A$5:$A$30,0))="نعم","جاهز للبدء",IF(V8="الآن (بنمط seam)","يبدأ بنمط seam — الربط ينتظر","ينتظر الباك اند")),"؟"))</f>
        <v/>
      </c>
    </row>
    <row r="9" ht="42" customHeight="1" s="26">
      <c r="A9" s="41" t="inlineStr">
        <is>
          <t>00-05</t>
        </is>
      </c>
      <c r="B9" s="31" t="inlineStr">
        <is>
          <t>WP-00</t>
        </is>
      </c>
      <c r="C9" s="43">
        <f>IFERROR(INDEX(WorkPackages!$C$5:$C$40,MATCH(B9,WorkPackages!$A$5:$A$40,0)),"")</f>
        <v/>
      </c>
      <c r="D9" s="31" t="inlineStr">
        <is>
          <t>عام</t>
        </is>
      </c>
      <c r="E9" s="31" t="inlineStr">
        <is>
          <t>API</t>
        </is>
      </c>
      <c r="F9" s="31" t="inlineStr">
        <is>
          <t>إضافة 10 دوال ناقصة لـ student.ts</t>
        </is>
      </c>
      <c r="G9" s="31" t="inlineStr">
        <is>
          <t>getStudentBooking, getStudentBookingPayment, studentCancelBooking, requestReschedule, getMyRescheduleRequests, getStudentLesson, getStudentCourse, getStudentAttendance, getStudentExamResults, getStudentProgress + أنواعها.</t>
        </is>
      </c>
      <c r="H9" s="31" t="inlineStr">
        <is>
          <t>10 دوال جديدة: بارامترات/أجسام الطلب من Swagger. الردود غير الموثّقة = PendingResponse؛ الاستثناء getStudentProgress يستخدم StudentProgressDto الموجود بالكود.</t>
        </is>
      </c>
      <c r="I9" s="31" t="inlineStr">
        <is>
          <t>Student/GetBooking, BookingPayment, CancelBooking, RequestReschedule, MyRescheduleRequests, GetLesson, GetCourse, Attendance, ExamResults, Progress</t>
        </is>
      </c>
      <c r="J9" s="31" t="inlineStr">
        <is>
          <t>00-06, 00-07, 00-21</t>
        </is>
      </c>
      <c r="K9" s="31" t="inlineStr">
        <is>
          <t>P0</t>
        </is>
      </c>
      <c r="L9" s="31" t="inlineStr">
        <is>
          <t>M</t>
        </is>
      </c>
      <c r="M9" s="30" t="inlineStr">
        <is>
          <t>قيد المراجعة</t>
        </is>
      </c>
      <c r="N9" s="30" t="inlineStr">
        <is>
          <t>Claude</t>
        </is>
      </c>
      <c r="O9" s="30" t="inlineStr">
        <is>
          <t>W0</t>
        </is>
      </c>
      <c r="P9" s="43">
        <f>IFERROR(INDEX(WorkPackages!$H$5:$H$40,MATCH(B9,WorkPackages!$A$5:$A$40,0)),"")</f>
        <v/>
      </c>
      <c r="Q9" s="42" t="n"/>
      <c r="R9" s="42" t="n"/>
      <c r="S9" s="30" t="inlineStr">
        <is>
          <t>لا</t>
        </is>
      </c>
      <c r="T9" s="30" t="inlineStr">
        <is>
          <t>سُلِّم في wp-00-files.zip؛ بانتظار 00-17 (routeTree + validate محليًا)</t>
        </is>
      </c>
      <c r="U9" s="31" t="inlineStr">
        <is>
          <t>لا</t>
        </is>
      </c>
      <c r="V9" s="31" t="inlineStr">
        <is>
          <t>WP-00 (سُلِّم — بانتظار validate)</t>
        </is>
      </c>
      <c r="W9" s="31" t="n"/>
      <c r="X9" s="43">
        <f>IF(W9="","—",IFERROR(IF(INDEX(BackendChecklist!$H$5:$H$30,MATCH(W9,BackendChecklist!$A$5:$A$30,0))="نعم","جاهز للبدء",IF(V9="الآن (بنمط seam)","يبدأ بنمط seam — الربط ينتظر","ينتظر الباك اند")),"؟"))</f>
        <v/>
      </c>
    </row>
    <row r="10" ht="42" customHeight="1" s="26">
      <c r="A10" s="41" t="inlineStr">
        <is>
          <t>00-06</t>
        </is>
      </c>
      <c r="B10" s="31" t="inlineStr">
        <is>
          <t>WP-00</t>
        </is>
      </c>
      <c r="C10" s="43">
        <f>IFERROR(INDEX(WorkPackages!$C$5:$C$40,MATCH(B10,WorkPackages!$A$5:$A$40,0)),"")</f>
        <v/>
      </c>
      <c r="D10" s="31" t="inlineStr">
        <is>
          <t>عام</t>
        </is>
      </c>
      <c r="E10" s="31" t="inlineStr">
        <is>
          <t>API</t>
        </is>
      </c>
      <c r="F10" s="31" t="inlineStr">
        <is>
          <t>ملف op-result.ts</t>
        </is>
      </c>
      <c r="G10" s="31" t="inlineStr">
        <is>
          <t>نوع OperationResult + assertOk(result, fallbackAr, fallbackEn) يرمي Error برسالة الباك اند (مع cleanBackendMessage) عند success=false.</t>
        </is>
      </c>
      <c r="H10" s="31" t="inlineStr">
        <is>
          <t>integrations/backend/op-result.ts</t>
        </is>
      </c>
      <c r="I10" s="31" t="inlineStr">
        <is>
          <t>—</t>
        </is>
      </c>
      <c r="J10" s="31" t="inlineStr">
        <is>
          <t>—</t>
        </is>
      </c>
      <c r="K10" s="31" t="inlineStr">
        <is>
          <t>P0</t>
        </is>
      </c>
      <c r="L10" s="31" t="inlineStr">
        <is>
          <t>S</t>
        </is>
      </c>
      <c r="M10" s="30" t="inlineStr">
        <is>
          <t>قيد المراجعة</t>
        </is>
      </c>
      <c r="N10" s="30" t="inlineStr">
        <is>
          <t>Claude</t>
        </is>
      </c>
      <c r="O10" s="30" t="inlineStr">
        <is>
          <t>W0</t>
        </is>
      </c>
      <c r="P10" s="43">
        <f>IFERROR(INDEX(WorkPackages!$H$5:$H$40,MATCH(B10,WorkPackages!$A$5:$A$40,0)),"")</f>
        <v/>
      </c>
      <c r="Q10" s="42" t="n"/>
      <c r="R10" s="42" t="n"/>
      <c r="S10" s="30" t="inlineStr">
        <is>
          <t>لا</t>
        </is>
      </c>
      <c r="T10" s="30" t="inlineStr">
        <is>
          <t>سُلِّم في wp-00-files.zip؛ بانتظار 00-17 (routeTree + validate محليًا)</t>
        </is>
      </c>
      <c r="U10" s="31" t="inlineStr">
        <is>
          <t>لا</t>
        </is>
      </c>
      <c r="V10" s="31" t="inlineStr">
        <is>
          <t>WP-00 (سُلِّم — بانتظار validate)</t>
        </is>
      </c>
      <c r="W10" s="31" t="n"/>
      <c r="X10" s="43">
        <f>IF(W10="","—",IFERROR(IF(INDEX(BackendChecklist!$H$5:$H$30,MATCH(W10,BackendChecklist!$A$5:$A$30,0))="نعم","جاهز للبدء",IF(V10="الآن (بنمط seam)","يبدأ بنمط seam — الربط ينتظر","ينتظر الباك اند")),"؟"))</f>
        <v/>
      </c>
    </row>
    <row r="11" ht="42" customHeight="1" s="26">
      <c r="A11" s="41" t="inlineStr">
        <is>
          <t>00-07</t>
        </is>
      </c>
      <c r="B11" s="31" t="inlineStr">
        <is>
          <t>WP-00</t>
        </is>
      </c>
      <c r="C11" s="43">
        <f>IFERROR(INDEX(WorkPackages!$C$5:$C$40,MATCH(B11,WorkPackages!$A$5:$A$40,0)),"")</f>
        <v/>
      </c>
      <c r="D11" s="31" t="inlineStr">
        <is>
          <t>عام</t>
        </is>
      </c>
      <c r="E11" s="31" t="inlineStr">
        <is>
          <t>Lib</t>
        </is>
      </c>
      <c r="F11" s="31" t="inlineStr">
        <is>
          <t>ملف enums.ts</t>
        </is>
      </c>
      <c r="G11" s="31" t="inlineStr">
        <is>
          <t>BookingStatus(1..6)+labels+tones، DeliveryType، MeetingPlatform، AttendanceStatus، RescheduleStatus (الأسماء تُؤكَّد من Q-05)، DayOfWeek. إزالة التكرار من student.ts/lessons.ts بإعادة التصدير.</t>
        </is>
      </c>
      <c r="H11" s="31" t="inlineStr">
        <is>
          <t>lib/enums.ts</t>
        </is>
      </c>
      <c r="I11" s="31" t="inlineStr">
        <is>
          <t>—</t>
        </is>
      </c>
      <c r="J11" s="31" t="inlineStr">
        <is>
          <t>—</t>
        </is>
      </c>
      <c r="K11" s="31" t="inlineStr">
        <is>
          <t>P0</t>
        </is>
      </c>
      <c r="L11" s="31" t="inlineStr">
        <is>
          <t>S</t>
        </is>
      </c>
      <c r="M11" s="30" t="inlineStr">
        <is>
          <t>قيد المراجعة</t>
        </is>
      </c>
      <c r="N11" s="30" t="inlineStr">
        <is>
          <t>Claude</t>
        </is>
      </c>
      <c r="O11" s="30" t="inlineStr">
        <is>
          <t>W0</t>
        </is>
      </c>
      <c r="P11" s="43">
        <f>IFERROR(INDEX(WorkPackages!$H$5:$H$40,MATCH(B11,WorkPackages!$A$5:$A$40,0)),"")</f>
        <v/>
      </c>
      <c r="Q11" s="42" t="n"/>
      <c r="R11" s="42" t="n"/>
      <c r="S11" s="30" t="inlineStr">
        <is>
          <t>لا</t>
        </is>
      </c>
      <c r="T11" s="30" t="inlineStr">
        <is>
          <t>سُلِّم في wp-00-files.zip؛ بانتظار 00-17 (routeTree + validate محليًا)</t>
        </is>
      </c>
      <c r="U11" s="31" t="inlineStr">
        <is>
          <t>لا</t>
        </is>
      </c>
      <c r="V11" s="31" t="inlineStr">
        <is>
          <t>WP-00 (سُلِّم — بانتظار validate)</t>
        </is>
      </c>
      <c r="W11" s="31" t="n"/>
      <c r="X11" s="43">
        <f>IF(W11="","—",IFERROR(IF(INDEX(BackendChecklist!$H$5:$H$30,MATCH(W11,BackendChecklist!$A$5:$A$30,0))="نعم","جاهز للبدء",IF(V11="الآن (بنمط seam)","يبدأ بنمط seam — الربط ينتظر","ينتظر الباك اند")),"؟"))</f>
        <v/>
      </c>
    </row>
    <row r="12" ht="42" customHeight="1" s="26">
      <c r="A12" s="41" t="inlineStr">
        <is>
          <t>00-08</t>
        </is>
      </c>
      <c r="B12" s="31" t="inlineStr">
        <is>
          <t>WP-00</t>
        </is>
      </c>
      <c r="C12" s="43">
        <f>IFERROR(INDEX(WorkPackages!$C$5:$C$40,MATCH(B12,WorkPackages!$A$5:$A$40,0)),"")</f>
        <v/>
      </c>
      <c r="D12" s="31" t="inlineStr">
        <is>
          <t>عام</t>
        </is>
      </c>
      <c r="E12" s="31" t="inlineStr">
        <is>
          <t>Lib</t>
        </is>
      </c>
      <c r="F12" s="31" t="inlineStr">
        <is>
          <t>ملف format.ts + اختبارات</t>
        </is>
      </c>
      <c r="G12" s="31" t="inlineStr">
        <is>
          <t>formatDate, formatTime(HH:mm:ss→HH:mm), dayName(date), formatMoney(₪)، combineDateTime، isHttpUrl (يرفض javascript: وغيره).</t>
        </is>
      </c>
      <c r="H12" s="31" t="inlineStr">
        <is>
          <t>lib/format.ts, lib/format.test.ts</t>
        </is>
      </c>
      <c r="I12" s="31" t="inlineStr">
        <is>
          <t>—</t>
        </is>
      </c>
      <c r="J12" s="31" t="inlineStr">
        <is>
          <t>—</t>
        </is>
      </c>
      <c r="K12" s="31" t="inlineStr">
        <is>
          <t>P0</t>
        </is>
      </c>
      <c r="L12" s="31" t="inlineStr">
        <is>
          <t>S</t>
        </is>
      </c>
      <c r="M12" s="30" t="inlineStr">
        <is>
          <t>قيد المراجعة</t>
        </is>
      </c>
      <c r="N12" s="30" t="inlineStr">
        <is>
          <t>Claude</t>
        </is>
      </c>
      <c r="O12" s="30" t="inlineStr">
        <is>
          <t>W0</t>
        </is>
      </c>
      <c r="P12" s="43">
        <f>IFERROR(INDEX(WorkPackages!$H$5:$H$40,MATCH(B12,WorkPackages!$A$5:$A$40,0)),"")</f>
        <v/>
      </c>
      <c r="Q12" s="42" t="n"/>
      <c r="R12" s="42" t="n"/>
      <c r="S12" s="30" t="inlineStr">
        <is>
          <t>لا</t>
        </is>
      </c>
      <c r="T12" s="30" t="inlineStr">
        <is>
          <t>سُلِّم في wp-00-files.zip؛ بانتظار 00-17 (routeTree + validate محليًا)</t>
        </is>
      </c>
      <c r="U12" s="31" t="inlineStr">
        <is>
          <t>لا</t>
        </is>
      </c>
      <c r="V12" s="31" t="inlineStr">
        <is>
          <t>WP-00 (سُلِّم — بانتظار validate)</t>
        </is>
      </c>
      <c r="W12" s="31" t="n"/>
      <c r="X12" s="43">
        <f>IF(W12="","—",IFERROR(IF(INDEX(BackendChecklist!$H$5:$H$30,MATCH(W12,BackendChecklist!$A$5:$A$30,0))="نعم","جاهز للبدء",IF(V12="الآن (بنمط seam)","يبدأ بنمط seam — الربط ينتظر","ينتظر الباك اند")),"؟"))</f>
        <v/>
      </c>
    </row>
    <row r="13" ht="42" customHeight="1" s="26">
      <c r="A13" s="41" t="inlineStr">
        <is>
          <t>00-09</t>
        </is>
      </c>
      <c r="B13" s="31" t="inlineStr">
        <is>
          <t>WP-00</t>
        </is>
      </c>
      <c r="C13" s="43">
        <f>IFERROR(INDEX(WorkPackages!$C$5:$C$40,MATCH(B13,WorkPackages!$A$5:$A$40,0)),"")</f>
        <v/>
      </c>
      <c r="D13" s="31" t="inlineStr">
        <is>
          <t>عام</t>
        </is>
      </c>
      <c r="E13" s="31" t="inlineStr">
        <is>
          <t>Component</t>
        </is>
      </c>
      <c r="F13" s="31" t="inlineStr">
        <is>
          <t>مكونات UI مشتركة</t>
        </is>
      </c>
      <c r="G13" s="31" t="inlineStr">
        <is>
          <t>BookingStatusBadge, StarRating (1..5، قابل للقراءة فقط/للإدخال)، SegmentedTabs (لا يوجد Tabs في المشروع)، ConfirmDialog (فوق alert-dialog).</t>
        </is>
      </c>
      <c r="H13" s="31" t="inlineStr">
        <is>
          <t>components/app/booking-status-badge.tsx, components/ui/star-rating.tsx, components/ui/segmented-tabs.tsx, components/app/confirm-dialog.tsx</t>
        </is>
      </c>
      <c r="I13" s="31" t="inlineStr">
        <is>
          <t>—</t>
        </is>
      </c>
      <c r="J13" s="31" t="inlineStr">
        <is>
          <t>00-07</t>
        </is>
      </c>
      <c r="K13" s="31" t="inlineStr">
        <is>
          <t>P0</t>
        </is>
      </c>
      <c r="L13" s="31" t="inlineStr">
        <is>
          <t>M</t>
        </is>
      </c>
      <c r="M13" s="30" t="inlineStr">
        <is>
          <t>قيد المراجعة</t>
        </is>
      </c>
      <c r="N13" s="30" t="inlineStr">
        <is>
          <t>Claude</t>
        </is>
      </c>
      <c r="O13" s="30" t="inlineStr">
        <is>
          <t>W0</t>
        </is>
      </c>
      <c r="P13" s="43">
        <f>IFERROR(INDEX(WorkPackages!$H$5:$H$40,MATCH(B13,WorkPackages!$A$5:$A$40,0)),"")</f>
        <v/>
      </c>
      <c r="Q13" s="42" t="n"/>
      <c r="R13" s="42" t="n"/>
      <c r="S13" s="30" t="inlineStr">
        <is>
          <t>لا</t>
        </is>
      </c>
      <c r="T13" s="30" t="inlineStr">
        <is>
          <t>سُلِّم في wp-00-files.zip؛ بانتظار 00-17 (routeTree + validate محليًا)</t>
        </is>
      </c>
      <c r="U13" s="31" t="inlineStr">
        <is>
          <t>لا</t>
        </is>
      </c>
      <c r="V13" s="31" t="inlineStr">
        <is>
          <t>WP-00 (سُلِّم — بانتظار validate)</t>
        </is>
      </c>
      <c r="W13" s="31" t="n"/>
      <c r="X13" s="43">
        <f>IF(W13="","—",IFERROR(IF(INDEX(BackendChecklist!$H$5:$H$30,MATCH(W13,BackendChecklist!$A$5:$A$30,0))="نعم","جاهز للبدء",IF(V13="الآن (بنمط seam)","يبدأ بنمط seam — الربط ينتظر","ينتظر الباك اند")),"؟"))</f>
        <v/>
      </c>
    </row>
    <row r="14" ht="42" customHeight="1" s="26">
      <c r="A14" s="41" t="inlineStr">
        <is>
          <t>00-10</t>
        </is>
      </c>
      <c r="B14" s="31" t="inlineStr">
        <is>
          <t>WP-00</t>
        </is>
      </c>
      <c r="C14" s="43">
        <f>IFERROR(INDEX(WorkPackages!$C$5:$C$40,MATCH(B14,WorkPackages!$A$5:$A$40,0)),"")</f>
        <v/>
      </c>
      <c r="D14" s="31" t="inlineStr">
        <is>
          <t>عام</t>
        </is>
      </c>
      <c r="E14" s="31" t="inlineStr">
        <is>
          <t>Lib</t>
        </is>
      </c>
      <c r="F14" s="31" t="inlineStr">
        <is>
          <t>ملف query-keys.ts</t>
        </is>
      </c>
      <c r="G14" s="31" t="inlineStr">
        <is>
          <t>مصنع مفاتيح react-query موحّد + invalidateBookingQueries(qc, id?) لمنع تضارب/نسيان الإبطال بين الـ WPs.</t>
        </is>
      </c>
      <c r="H14" s="31" t="inlineStr">
        <is>
          <t>lib/query-keys.ts</t>
        </is>
      </c>
      <c r="I14" s="31" t="inlineStr">
        <is>
          <t>—</t>
        </is>
      </c>
      <c r="J14" s="31" t="inlineStr">
        <is>
          <t>—</t>
        </is>
      </c>
      <c r="K14" s="31" t="inlineStr">
        <is>
          <t>P0</t>
        </is>
      </c>
      <c r="L14" s="31" t="inlineStr">
        <is>
          <t>S</t>
        </is>
      </c>
      <c r="M14" s="30" t="inlineStr">
        <is>
          <t>قيد المراجعة</t>
        </is>
      </c>
      <c r="N14" s="30" t="inlineStr">
        <is>
          <t>Claude</t>
        </is>
      </c>
      <c r="O14" s="30" t="inlineStr">
        <is>
          <t>W0</t>
        </is>
      </c>
      <c r="P14" s="43">
        <f>IFERROR(INDEX(WorkPackages!$H$5:$H$40,MATCH(B14,WorkPackages!$A$5:$A$40,0)),"")</f>
        <v/>
      </c>
      <c r="Q14" s="42" t="n"/>
      <c r="R14" s="42" t="n"/>
      <c r="S14" s="30" t="inlineStr">
        <is>
          <t>لا</t>
        </is>
      </c>
      <c r="T14" s="30" t="inlineStr">
        <is>
          <t>يتضمن qk.teacherEarningsCredits() (أُضيف من WP-W2 قبل إغلاق WP-00 — بلا CR)</t>
        </is>
      </c>
      <c r="U14" s="31" t="inlineStr">
        <is>
          <t>لا</t>
        </is>
      </c>
      <c r="V14" s="31" t="inlineStr">
        <is>
          <t>WP-00 (سُلِّم — بانتظار validate)</t>
        </is>
      </c>
      <c r="W14" s="31" t="n"/>
      <c r="X14" s="43">
        <f>IF(W14="","—",IFERROR(IF(INDEX(BackendChecklist!$H$5:$H$30,MATCH(W14,BackendChecklist!$A$5:$A$30,0))="نعم","جاهز للبدء",IF(V14="الآن (بنمط seam)","يبدأ بنمط seam — الربط ينتظر","ينتظر الباك اند")),"؟"))</f>
        <v/>
      </c>
    </row>
    <row r="15" ht="42" customHeight="1" s="26">
      <c r="A15" s="41" t="inlineStr">
        <is>
          <t>00-11</t>
        </is>
      </c>
      <c r="B15" s="31" t="inlineStr">
        <is>
          <t>WP-00</t>
        </is>
      </c>
      <c r="C15" s="43">
        <f>IFERROR(INDEX(WorkPackages!$C$5:$C$40,MATCH(B15,WorkPackages!$A$5:$A$40,0)),"")</f>
        <v/>
      </c>
      <c r="D15" s="31" t="inlineStr">
        <is>
          <t>عام</t>
        </is>
      </c>
      <c r="E15" s="31" t="inlineStr">
        <is>
          <t>Lib</t>
        </is>
      </c>
      <c r="F15" s="31" t="inlineStr">
        <is>
          <t>ملف booking-rules.ts + اختبارات</t>
        </is>
      </c>
      <c r="G15" s="31" t="inlineStr">
        <is>
          <t>دوال نقية: canCancel/canReschedule/canRate(booking) بناءً على الحالة والتاريخ (ويُعتمد الباك اند كمرجع نهائي). تستهلكها WP-S2/S3/S4.</t>
        </is>
      </c>
      <c r="H15" s="31" t="inlineStr">
        <is>
          <t>lib/booking-rules.ts, lib/booking-rules.test.ts</t>
        </is>
      </c>
      <c r="I15" s="31" t="inlineStr">
        <is>
          <t>—</t>
        </is>
      </c>
      <c r="J15" s="31" t="inlineStr">
        <is>
          <t>00-07</t>
        </is>
      </c>
      <c r="K15" s="31" t="inlineStr">
        <is>
          <t>P0</t>
        </is>
      </c>
      <c r="L15" s="31" t="inlineStr">
        <is>
          <t>S</t>
        </is>
      </c>
      <c r="M15" s="30" t="inlineStr">
        <is>
          <t>قيد المراجعة</t>
        </is>
      </c>
      <c r="N15" s="30" t="inlineStr">
        <is>
          <t>Claude</t>
        </is>
      </c>
      <c r="O15" s="30" t="inlineStr">
        <is>
          <t>W0</t>
        </is>
      </c>
      <c r="P15" s="43">
        <f>IFERROR(INDEX(WorkPackages!$H$5:$H$40,MATCH(B15,WorkPackages!$A$5:$A$40,0)),"")</f>
        <v/>
      </c>
      <c r="Q15" s="42" t="n"/>
      <c r="R15" s="42" t="n"/>
      <c r="S15" s="30" t="inlineStr">
        <is>
          <t>لا</t>
        </is>
      </c>
      <c r="T15" s="30" t="inlineStr">
        <is>
          <t>سُلِّم في wp-00-files.zip؛ بانتظار 00-17 (routeTree + validate محليًا)</t>
        </is>
      </c>
      <c r="U15" s="31" t="inlineStr">
        <is>
          <t>لا</t>
        </is>
      </c>
      <c r="V15" s="31" t="inlineStr">
        <is>
          <t>WP-00 (سُلِّم — بانتظار validate)</t>
        </is>
      </c>
      <c r="W15" s="31" t="n"/>
      <c r="X15" s="43">
        <f>IF(W15="","—",IFERROR(IF(INDEX(BackendChecklist!$H$5:$H$30,MATCH(W15,BackendChecklist!$A$5:$A$30,0))="نعم","جاهز للبدء",IF(V15="الآن (بنمط seam)","يبدأ بنمط seam — الربط ينتظر","ينتظر الباك اند")),"؟"))</f>
        <v/>
      </c>
    </row>
    <row r="16" ht="42" customHeight="1" s="26">
      <c r="A16" s="41" t="inlineStr">
        <is>
          <t>00-12</t>
        </is>
      </c>
      <c r="B16" s="31" t="inlineStr">
        <is>
          <t>WP-00</t>
        </is>
      </c>
      <c r="C16" s="43">
        <f>IFERROR(INDEX(WorkPackages!$C$5:$C$40,MATCH(B16,WorkPackages!$A$5:$A$40,0)),"")</f>
        <v/>
      </c>
      <c r="D16" s="31" t="inlineStr">
        <is>
          <t>عام</t>
        </is>
      </c>
      <c r="E16" s="31" t="inlineStr">
        <is>
          <t>Test</t>
        </is>
      </c>
      <c r="F16" s="31" t="inlineStr">
        <is>
          <t>اختبارات طبقة الـ API</t>
        </is>
      </c>
      <c r="G16" s="31" t="inlineStr">
        <is>
          <t>bookings/lessons/student/courses (نمط courses.test.ts: mock لـ apiClient) تغطي المسارات، الحقول، ومعالجة OperationResult.</t>
        </is>
      </c>
      <c r="H16" s="31" t="inlineStr">
        <is>
          <t>integrations/backend/bookings.test.ts, lessons.test.ts, student.test.ts, courses.test.ts</t>
        </is>
      </c>
      <c r="I16" s="31" t="inlineStr">
        <is>
          <t>كل ما سبق</t>
        </is>
      </c>
      <c r="J16" s="31" t="inlineStr">
        <is>
          <t>00-01..00-06</t>
        </is>
      </c>
      <c r="K16" s="31" t="inlineStr">
        <is>
          <t>P0</t>
        </is>
      </c>
      <c r="L16" s="31" t="inlineStr">
        <is>
          <t>M</t>
        </is>
      </c>
      <c r="M16" s="30" t="inlineStr">
        <is>
          <t>قيد المراجعة</t>
        </is>
      </c>
      <c r="N16" s="30" t="inlineStr">
        <is>
          <t>Claude</t>
        </is>
      </c>
      <c r="O16" s="30" t="inlineStr">
        <is>
          <t>W0</t>
        </is>
      </c>
      <c r="P16" s="43">
        <f>IFERROR(INDEX(WorkPackages!$H$5:$H$40,MATCH(B16,WorkPackages!$A$5:$A$40,0)),"")</f>
        <v/>
      </c>
      <c r="Q16" s="42" t="n"/>
      <c r="R16" s="42" t="n"/>
      <c r="S16" s="30" t="inlineStr">
        <is>
          <t>لا</t>
        </is>
      </c>
      <c r="T16" s="30" t="inlineStr">
        <is>
          <t>تعديل courses.test.ts (ملك WP-00 أصلًا)</t>
        </is>
      </c>
      <c r="U16" s="31" t="inlineStr">
        <is>
          <t>لا</t>
        </is>
      </c>
      <c r="V16" s="31" t="inlineStr">
        <is>
          <t>WP-00 (سُلِّم — بانتظار validate)</t>
        </is>
      </c>
      <c r="W16" s="31" t="n"/>
      <c r="X16" s="43">
        <f>IF(W16="","—",IFERROR(IF(INDEX(BackendChecklist!$H$5:$H$30,MATCH(W16,BackendChecklist!$A$5:$A$30,0))="نعم","جاهز للبدء",IF(V16="الآن (بنمط seam)","يبدأ بنمط seam — الربط ينتظر","ينتظر الباك اند")),"؟"))</f>
        <v/>
      </c>
    </row>
    <row r="17" ht="42" customHeight="1" s="26">
      <c r="A17" s="41" t="inlineStr">
        <is>
          <t>00-13</t>
        </is>
      </c>
      <c r="B17" s="31" t="inlineStr">
        <is>
          <t>WP-00</t>
        </is>
      </c>
      <c r="C17" s="43">
        <f>IFERROR(INDEX(WorkPackages!$C$5:$C$40,MATCH(B17,WorkPackages!$A$5:$A$40,0)),"")</f>
        <v/>
      </c>
      <c r="D17" s="31" t="inlineStr">
        <is>
          <t>عام</t>
        </is>
      </c>
      <c r="E17" s="31" t="inlineStr">
        <is>
          <t>Nav</t>
        </is>
      </c>
      <c r="F17" s="31" t="inlineStr">
        <is>
          <t>تسجيل الصفحات الجديدة بالتنقّل</t>
        </is>
      </c>
      <c r="G17" s="31" t="inlineStr">
        <is>
          <t>إضافة PAGES: student_attendance, student_exam_results, student_progress, teacher_bookings (أيقونات + مسارات). صفحات التفاصيل تُعيد استخدام مفاتيح موجودة (انظر Contracts).</t>
        </is>
      </c>
      <c r="H17" s="31" t="inlineStr">
        <is>
          <t>lib/rbac-static-data.ts</t>
        </is>
      </c>
      <c r="I17" s="31" t="inlineStr">
        <is>
          <t>—</t>
        </is>
      </c>
      <c r="J17" s="31" t="inlineStr">
        <is>
          <t>—</t>
        </is>
      </c>
      <c r="K17" s="31" t="inlineStr">
        <is>
          <t>P0</t>
        </is>
      </c>
      <c r="L17" s="31" t="inlineStr">
        <is>
          <t>S</t>
        </is>
      </c>
      <c r="M17" s="30" t="inlineStr">
        <is>
          <t>قيد المراجعة</t>
        </is>
      </c>
      <c r="N17" s="30" t="inlineStr">
        <is>
          <t>Claude</t>
        </is>
      </c>
      <c r="O17" s="30" t="inlineStr">
        <is>
          <t>W0</t>
        </is>
      </c>
      <c r="P17" s="43">
        <f>IFERROR(INDEX(WorkPackages!$H$5:$H$40,MATCH(B17,WorkPackages!$A$5:$A$40,0)),"")</f>
        <v/>
      </c>
      <c r="Q17" s="42" t="n"/>
      <c r="R17" s="42" t="n"/>
      <c r="S17" s="30" t="inlineStr">
        <is>
          <t>لا</t>
        </is>
      </c>
      <c r="T17" s="30" t="inlineStr">
        <is>
          <t>سُلِّم في wp-00-files.zip؛ بانتظار 00-17 (routeTree + validate محليًا)</t>
        </is>
      </c>
      <c r="U17" s="31" t="inlineStr">
        <is>
          <t>لا</t>
        </is>
      </c>
      <c r="V17" s="31" t="inlineStr">
        <is>
          <t>WP-00 (سُلِّم — بانتظار validate)</t>
        </is>
      </c>
      <c r="W17" s="31" t="n"/>
      <c r="X17" s="43">
        <f>IF(W17="","—",IFERROR(IF(INDEX(BackendChecklist!$H$5:$H$30,MATCH(W17,BackendChecklist!$A$5:$A$30,0))="نعم","جاهز للبدء",IF(V17="الآن (بنمط seam)","يبدأ بنمط seam — الربط ينتظر","ينتظر الباك اند")),"؟"))</f>
        <v/>
      </c>
    </row>
    <row r="18" ht="42" customHeight="1" s="26">
      <c r="A18" s="41" t="inlineStr">
        <is>
          <t>00-14</t>
        </is>
      </c>
      <c r="B18" s="31" t="inlineStr">
        <is>
          <t>WP-00</t>
        </is>
      </c>
      <c r="C18" s="43">
        <f>IFERROR(INDEX(WorkPackages!$C$5:$C$40,MATCH(B18,WorkPackages!$A$5:$A$40,0)),"")</f>
        <v/>
      </c>
      <c r="D18" s="31" t="inlineStr">
        <is>
          <t>عام</t>
        </is>
      </c>
      <c r="E18" s="31" t="inlineStr">
        <is>
          <t>Route</t>
        </is>
      </c>
      <c r="F18" s="31" t="inlineStr">
        <is>
          <t>إنشاء كل ملفات الـ routes كـ stubs</t>
        </is>
      </c>
      <c r="G18" s="31" t="inlineStr">
        <is>
          <t>كل route جديد بـ Guard + AppPage + EmptyState «قيد البناء — WP-xx» لحين اكتمال مالكه. الملفات والمفاتيح مذكورة في FileOwnership.</t>
        </is>
      </c>
      <c r="H18" s="31" t="inlineStr">
        <is>
          <t>routes/_authenticated/{teacher.course.$id, teacher.bookings, book.$teacherId, booking.$id, lesson.$id, enrolled-course.$id, attendance, exam-results, progress}.tsx</t>
        </is>
      </c>
      <c r="I18" s="31" t="inlineStr">
        <is>
          <t>—</t>
        </is>
      </c>
      <c r="J18" s="31" t="inlineStr">
        <is>
          <t>00-13</t>
        </is>
      </c>
      <c r="K18" s="31" t="inlineStr">
        <is>
          <t>P0</t>
        </is>
      </c>
      <c r="L18" s="31" t="inlineStr">
        <is>
          <t>M</t>
        </is>
      </c>
      <c r="M18" s="30" t="inlineStr">
        <is>
          <t>قيد المراجعة</t>
        </is>
      </c>
      <c r="N18" s="30" t="inlineStr">
        <is>
          <t>Claude</t>
        </is>
      </c>
      <c r="O18" s="30" t="inlineStr">
        <is>
          <t>W0</t>
        </is>
      </c>
      <c r="P18" s="43">
        <f>IFERROR(INDEX(WorkPackages!$H$5:$H$40,MATCH(B18,WorkPackages!$A$5:$A$40,0)),"")</f>
        <v/>
      </c>
      <c r="Q18" s="42" t="n"/>
      <c r="R18" s="42" t="n"/>
      <c r="S18" s="30" t="inlineStr">
        <is>
          <t>لا</t>
        </is>
      </c>
      <c r="T18" s="30" t="inlineStr">
        <is>
          <t>سُلِّم في wp-00-files.zip؛ بانتظار 00-17 (routeTree + validate محليًا)</t>
        </is>
      </c>
      <c r="U18" s="31" t="inlineStr">
        <is>
          <t>لا</t>
        </is>
      </c>
      <c r="V18" s="31" t="inlineStr">
        <is>
          <t>WP-00 (سُلِّم — بانتظار validate)</t>
        </is>
      </c>
      <c r="W18" s="31" t="n"/>
      <c r="X18" s="43">
        <f>IF(W18="","—",IFERROR(IF(INDEX(BackendChecklist!$H$5:$H$30,MATCH(W18,BackendChecklist!$A$5:$A$30,0))="نعم","جاهز للبدء",IF(V18="الآن (بنمط seam)","يبدأ بنمط seam — الربط ينتظر","ينتظر الباك اند")),"؟"))</f>
        <v/>
      </c>
    </row>
    <row r="19" ht="42" customHeight="1" s="26">
      <c r="A19" s="41" t="inlineStr">
        <is>
          <t>00-15</t>
        </is>
      </c>
      <c r="B19" s="31" t="inlineStr">
        <is>
          <t>WP-00</t>
        </is>
      </c>
      <c r="C19" s="43">
        <f>IFERROR(INDEX(WorkPackages!$C$5:$C$40,MATCH(B19,WorkPackages!$A$5:$A$40,0)),"")</f>
        <v/>
      </c>
      <c r="D19" s="31" t="inlineStr">
        <is>
          <t>عام</t>
        </is>
      </c>
      <c r="E19" s="31" t="inlineStr">
        <is>
          <t>Component</t>
        </is>
      </c>
      <c r="F19" s="31" t="inlineStr">
        <is>
          <t>Stubs للمكونات المتفق عليها</t>
        </is>
      </c>
      <c r="G19" s="31" t="inlineStr">
        <is>
          <t>كل مكون في Contracts بنفس الـ props المتفق عليها (يرجع null أو placeholder) كي لا يعتمد WP على آخر.</t>
        </is>
      </c>
      <c r="H19" s="31" t="inlineStr">
        <is>
          <t>components/teacher/*, components/student/*, components/wallet/insufficient-balance-alert.tsx</t>
        </is>
      </c>
      <c r="I19" s="31" t="inlineStr">
        <is>
          <t>—</t>
        </is>
      </c>
      <c r="J19" s="31" t="inlineStr">
        <is>
          <t>00-09</t>
        </is>
      </c>
      <c r="K19" s="31" t="inlineStr">
        <is>
          <t>P0</t>
        </is>
      </c>
      <c r="L19" s="31" t="inlineStr">
        <is>
          <t>M</t>
        </is>
      </c>
      <c r="M19" s="30" t="inlineStr">
        <is>
          <t>قيد المراجعة</t>
        </is>
      </c>
      <c r="N19" s="30" t="inlineStr">
        <is>
          <t>Claude</t>
        </is>
      </c>
      <c r="O19" s="30" t="inlineStr">
        <is>
          <t>W0</t>
        </is>
      </c>
      <c r="P19" s="43">
        <f>IFERROR(INDEX(WorkPackages!$H$5:$H$40,MATCH(B19,WorkPackages!$A$5:$A$40,0)),"")</f>
        <v/>
      </c>
      <c r="Q19" s="42" t="n"/>
      <c r="R19" s="42" t="n"/>
      <c r="S19" s="30" t="inlineStr">
        <is>
          <t>لا</t>
        </is>
      </c>
      <c r="T19" s="30" t="inlineStr">
        <is>
          <t>سُلِّم في wp-00-files.zip؛ بانتظار 00-17 (routeTree + validate محليًا)</t>
        </is>
      </c>
      <c r="U19" s="31" t="inlineStr">
        <is>
          <t>لا</t>
        </is>
      </c>
      <c r="V19" s="31" t="inlineStr">
        <is>
          <t>WP-00 (سُلِّم — بانتظار validate)</t>
        </is>
      </c>
      <c r="W19" s="31" t="n"/>
      <c r="X19" s="43">
        <f>IF(W19="","—",IFERROR(IF(INDEX(BackendChecklist!$H$5:$H$30,MATCH(W19,BackendChecklist!$A$5:$A$30,0))="نعم","جاهز للبدء",IF(V19="الآن (بنمط seam)","يبدأ بنمط seam — الربط ينتظر","ينتظر الباك اند")),"؟"))</f>
        <v/>
      </c>
    </row>
    <row r="20" ht="42" customHeight="1" s="26">
      <c r="A20" s="41" t="inlineStr">
        <is>
          <t>00-16</t>
        </is>
      </c>
      <c r="B20" s="31" t="inlineStr">
        <is>
          <t>WP-00</t>
        </is>
      </c>
      <c r="C20" s="43">
        <f>IFERROR(INDEX(WorkPackages!$C$5:$C$40,MATCH(B20,WorkPackages!$A$5:$A$40,0)),"")</f>
        <v/>
      </c>
      <c r="D20" s="31" t="inlineStr">
        <is>
          <t>عام</t>
        </is>
      </c>
      <c r="E20" s="31" t="inlineStr">
        <is>
          <t>Route</t>
        </is>
      </c>
      <c r="F20" s="31" t="inlineStr">
        <is>
          <t>إعادة تركيب my-courses.tsx من لوحات</t>
        </is>
      </c>
      <c r="G20" s="31" t="inlineStr">
        <is>
          <t>تفكيك الصفحة إلى 4 مكونات لوحات (enrolled / confirmed / pending / reschedule) بسلوك مطابق للحالي. بعدها يُجمَّد الملف.</t>
        </is>
      </c>
      <c r="H20" s="31" t="inlineStr">
        <is>
          <t>routes/_authenticated/my-courses.tsx, components/student/my-courses/*</t>
        </is>
      </c>
      <c r="I20" s="31" t="inlineStr">
        <is>
          <t>Student/MyBookings, MyRequests</t>
        </is>
      </c>
      <c r="J20" s="31" t="inlineStr">
        <is>
          <t>00-15</t>
        </is>
      </c>
      <c r="K20" s="31" t="inlineStr">
        <is>
          <t>P0</t>
        </is>
      </c>
      <c r="L20" s="31" t="inlineStr">
        <is>
          <t>S</t>
        </is>
      </c>
      <c r="M20" s="30" t="inlineStr">
        <is>
          <t>قيد المراجعة</t>
        </is>
      </c>
      <c r="N20" s="30" t="inlineStr">
        <is>
          <t>Claude</t>
        </is>
      </c>
      <c r="O20" s="30" t="inlineStr">
        <is>
          <t>W0</t>
        </is>
      </c>
      <c r="P20" s="43">
        <f>IFERROR(INDEX(WorkPackages!$H$5:$H$40,MATCH(B20,WorkPackages!$A$5:$A$40,0)),"")</f>
        <v/>
      </c>
      <c r="Q20" s="42" t="n"/>
      <c r="R20" s="42" t="n"/>
      <c r="S20" s="30" t="inlineStr">
        <is>
          <t>لا</t>
        </is>
      </c>
      <c r="T20" s="30" t="inlineStr">
        <is>
          <t>سُلِّم في wp-00-files.zip؛ بانتظار 00-17 (routeTree + validate محليًا)</t>
        </is>
      </c>
      <c r="U20" s="31" t="inlineStr">
        <is>
          <t>لا</t>
        </is>
      </c>
      <c r="V20" s="31" t="inlineStr">
        <is>
          <t>WP-00 (سُلِّم — بانتظار validate)</t>
        </is>
      </c>
      <c r="W20" s="31" t="n"/>
      <c r="X20" s="43">
        <f>IF(W20="","—",IFERROR(IF(INDEX(BackendChecklist!$H$5:$H$30,MATCH(W20,BackendChecklist!$A$5:$A$30,0))="نعم","جاهز للبدء",IF(V20="الآن (بنمط seam)","يبدأ بنمط seam — الربط ينتظر","ينتظر الباك اند")),"؟"))</f>
        <v/>
      </c>
    </row>
    <row r="21" ht="42" customHeight="1" s="26">
      <c r="A21" s="41" t="inlineStr">
        <is>
          <t>00-17</t>
        </is>
      </c>
      <c r="B21" s="31" t="inlineStr">
        <is>
          <t>WP-00</t>
        </is>
      </c>
      <c r="C21" s="43">
        <f>IFERROR(INDEX(WorkPackages!$C$5:$C$40,MATCH(B21,WorkPackages!$A$5:$A$40,0)),"")</f>
        <v/>
      </c>
      <c r="D21" s="31" t="inlineStr">
        <is>
          <t>عام</t>
        </is>
      </c>
      <c r="E21" s="31" t="inlineStr">
        <is>
          <t>Build</t>
        </is>
      </c>
      <c r="F21" s="31" t="inlineStr">
        <is>
          <t>توليد routeTree.gen.ts مرة واحدة + validate</t>
        </is>
      </c>
      <c r="G21" s="31" t="inlineStr">
        <is>
          <t>تشغيل vite dev/build لتوليد الشجرة، commit، ثم npm run validate أخضر. بعدها يُمنع على أي WP لمس الملف.</t>
        </is>
      </c>
      <c r="H21" s="31" t="inlineStr">
        <is>
          <t>routeTree.gen.ts (تلقائي)</t>
        </is>
      </c>
      <c r="I21" s="31" t="inlineStr">
        <is>
          <t>—</t>
        </is>
      </c>
      <c r="J21" s="31" t="inlineStr">
        <is>
          <t>00-14</t>
        </is>
      </c>
      <c r="K21" s="31" t="inlineStr">
        <is>
          <t>P0</t>
        </is>
      </c>
      <c r="L21" s="31" t="inlineStr">
        <is>
          <t>S</t>
        </is>
      </c>
      <c r="M21" s="30" t="inlineStr">
        <is>
          <t>قيد التنفيذ</t>
        </is>
      </c>
      <c r="N21" s="30" t="inlineStr">
        <is>
          <t>المستخدم (محليًا)</t>
        </is>
      </c>
      <c r="O21" s="30" t="inlineStr">
        <is>
          <t>W0-Final</t>
        </is>
      </c>
      <c r="P21" s="43">
        <f>IFERROR(INDEX(WorkPackages!$H$5:$H$40,MATCH(B21,WorkPackages!$A$5:$A$40,0)),"")</f>
        <v/>
      </c>
      <c r="Q21" s="42" t="n"/>
      <c r="R21" s="42" t="n"/>
      <c r="S21" s="30" t="inlineStr">
        <is>
          <t>لا</t>
        </is>
      </c>
      <c r="T21" s="30" t="inlineStr">
        <is>
          <t>المستخدم: npm run dev (توليد routeTree) ← npm run format ← npm run validate</t>
        </is>
      </c>
      <c r="U21" s="31" t="inlineStr">
        <is>
          <t>لا</t>
        </is>
      </c>
      <c r="V21" s="31" t="inlineStr">
        <is>
          <t>WP-00 (سُلِّم — بانتظار validate)</t>
        </is>
      </c>
      <c r="W21" s="31" t="n"/>
      <c r="X21" s="43">
        <f>IF(W21="","—",IFERROR(IF(INDEX(BackendChecklist!$H$5:$H$30,MATCH(W21,BackendChecklist!$A$5:$A$30,0))="نعم","جاهز للبدء",IF(V21="الآن (بنمط seam)","يبدأ بنمط seam — الربط ينتظر","ينتظر الباك اند")),"؟"))</f>
        <v/>
      </c>
    </row>
    <row r="22" ht="42" customHeight="1" s="26">
      <c r="A22" s="41" t="inlineStr">
        <is>
          <t>00-19</t>
        </is>
      </c>
      <c r="B22" s="31" t="inlineStr">
        <is>
          <t>WP-00</t>
        </is>
      </c>
      <c r="C22" s="43">
        <f>IFERROR(INDEX(WorkPackages!$C$5:$C$40,MATCH(B22,WorkPackages!$A$5:$A$40,0)),"")</f>
        <v/>
      </c>
      <c r="D22" s="31" t="inlineStr">
        <is>
          <t>عام</t>
        </is>
      </c>
      <c r="E22" s="31" t="inlineStr">
        <is>
          <t>Nav</t>
        </is>
      </c>
      <c r="F22" s="31" t="inlineStr">
        <is>
          <t>(اختياري) مطابقة القائمة الجانبية لمسارات التفاصيل</t>
        </is>
      </c>
      <c r="G22" s="31" t="inlineStr">
        <is>
          <t>app-sidebar يحدد الوحدة النشطة بـ startsWith على مسارات PAGES؛ مسارات مثل /lesson/$id لن تفتح مجموعتها. تحسين اختياري.</t>
        </is>
      </c>
      <c r="H22" s="31" t="inlineStr">
        <is>
          <t>components/admin/app-sidebar.tsx</t>
        </is>
      </c>
      <c r="I22" s="31" t="inlineStr">
        <is>
          <t>—</t>
        </is>
      </c>
      <c r="J22" s="31" t="inlineStr">
        <is>
          <t>00-13</t>
        </is>
      </c>
      <c r="K22" s="31" t="inlineStr">
        <is>
          <t>P2</t>
        </is>
      </c>
      <c r="L22" s="31" t="inlineStr">
        <is>
          <t>S</t>
        </is>
      </c>
      <c r="M22" s="30" t="inlineStr">
        <is>
          <t>قيد المراجعة</t>
        </is>
      </c>
      <c r="N22" s="30" t="inlineStr">
        <is>
          <t>Claude</t>
        </is>
      </c>
      <c r="O22" s="30" t="inlineStr">
        <is>
          <t>W0</t>
        </is>
      </c>
      <c r="P22" s="43">
        <f>IFERROR(INDEX(WorkPackages!$H$5:$H$40,MATCH(B22,WorkPackages!$A$5:$A$40,0)),"")</f>
        <v/>
      </c>
      <c r="Q22" s="42" t="n"/>
      <c r="R22" s="42" t="n"/>
      <c r="S22" s="30" t="inlineStr">
        <is>
          <t>لا</t>
        </is>
      </c>
      <c r="T22" s="30" t="inlineStr">
        <is>
          <t>تعديل app-sidebar.tsx ضمن 00-19 الاختيارية (DETAIL_ROUTE_OWNERS)</t>
        </is>
      </c>
      <c r="U22" s="31" t="inlineStr">
        <is>
          <t>لا</t>
        </is>
      </c>
      <c r="V22" s="31" t="inlineStr">
        <is>
          <t>WP-00 (سُلِّم — بانتظار validate)</t>
        </is>
      </c>
      <c r="W22" s="31" t="n"/>
      <c r="X22" s="43">
        <f>IF(W22="","—",IFERROR(IF(INDEX(BackendChecklist!$H$5:$H$30,MATCH(W22,BackendChecklist!$A$5:$A$30,0))="نعم","جاهز للبدء",IF(V22="الآن (بنمط seam)","يبدأ بنمط seam — الربط ينتظر","ينتظر الباك اند")),"؟"))</f>
        <v/>
      </c>
    </row>
    <row r="23" ht="42" customHeight="1" s="26">
      <c r="A23" s="41" t="inlineStr">
        <is>
          <t>00-20</t>
        </is>
      </c>
      <c r="B23" s="31" t="inlineStr">
        <is>
          <t>WP-00</t>
        </is>
      </c>
      <c r="C23" s="43">
        <f>IFERROR(INDEX(WorkPackages!$C$5:$C$40,MATCH(B23,WorkPackages!$A$5:$A$40,0)),"")</f>
        <v/>
      </c>
      <c r="D23" s="31" t="inlineStr">
        <is>
          <t>عام</t>
        </is>
      </c>
      <c r="E23" s="31" t="inlineStr">
        <is>
          <t>Tracker</t>
        </is>
      </c>
      <c r="F23" s="31" t="inlineStr">
        <is>
          <t>إغلاق Wave 0 وتجميد الملفات</t>
        </is>
      </c>
      <c r="G23" s="31" t="inlineStr">
        <is>
          <t>تحديث التتبع: Wave 0 مكتمل + إعلان قائمة الملفات المجمّدة + تفعيل Wave 1.</t>
        </is>
      </c>
      <c r="H23" s="31" t="inlineStr">
        <is>
          <t>هذا الملف</t>
        </is>
      </c>
      <c r="I23" s="31" t="inlineStr">
        <is>
          <t>—</t>
        </is>
      </c>
      <c r="J23" s="31" t="inlineStr">
        <is>
          <t>00-01..00-17, 00-19, 00-21</t>
        </is>
      </c>
      <c r="K23" s="31" t="inlineStr">
        <is>
          <t>P0</t>
        </is>
      </c>
      <c r="L23" s="31" t="inlineStr">
        <is>
          <t>S</t>
        </is>
      </c>
      <c r="M23" s="30" t="inlineStr">
        <is>
          <t>لم يبدأ</t>
        </is>
      </c>
      <c r="N23" s="30" t="inlineStr">
        <is>
          <t>Claude</t>
        </is>
      </c>
      <c r="O23" s="30" t="inlineStr">
        <is>
          <t>W0-Final</t>
        </is>
      </c>
      <c r="P23" s="43">
        <f>IFERROR(INDEX(WorkPackages!$H$5:$H$40,MATCH(B23,WorkPackages!$A$5:$A$40,0)),"")</f>
        <v/>
      </c>
      <c r="Q23" s="42" t="n"/>
      <c r="R23" s="42" t="n"/>
      <c r="S23" s="30" t="inlineStr">
        <is>
          <t>لا</t>
        </is>
      </c>
      <c r="T23" s="30" t="n"/>
      <c r="U23" s="31" t="inlineStr">
        <is>
          <t>لا</t>
        </is>
      </c>
      <c r="V23" s="31" t="inlineStr">
        <is>
          <t>WP-00 (سُلِّم — بانتظار validate)</t>
        </is>
      </c>
      <c r="W23" s="31" t="n"/>
      <c r="X23" s="43">
        <f>IF(W23="","—",IFERROR(IF(INDEX(BackendChecklist!$H$5:$H$30,MATCH(W23,BackendChecklist!$A$5:$A$30,0))="نعم","جاهز للبدء",IF(V23="الآن (بنمط seam)","يبدأ بنمط seam — الربط ينتظر","ينتظر الباك اند")),"؟"))</f>
        <v/>
      </c>
    </row>
    <row r="24" ht="42" customHeight="1" s="26">
      <c r="A24" s="41" t="inlineStr">
        <is>
          <t>T1-01</t>
        </is>
      </c>
      <c r="B24" s="31" t="inlineStr">
        <is>
          <t>WP-T1</t>
        </is>
      </c>
      <c r="C24" s="43">
        <f>IFERROR(INDEX(WorkPackages!$C$5:$C$40,MATCH(B24,WorkPackages!$A$5:$A$40,0)),"")</f>
        <v/>
      </c>
      <c r="D24" s="31" t="inlineStr">
        <is>
          <t>FR-I01</t>
        </is>
      </c>
      <c r="E24" s="31" t="inlineStr">
        <is>
          <t>UI</t>
        </is>
      </c>
      <c r="F24" s="31" t="inlineStr">
        <is>
          <t>قائمة كورسات المعلم</t>
        </is>
      </c>
      <c r="G24" s="31" t="inlineStr">
        <is>
          <t>استبدال placeholder «قيد التطوير» بقائمة حقيقية: العنوان، النوع (حضوري/أونلاين)، الحالة (مسودة/منشور/مؤرشف)، السعر، السعة. حالات تحميل/خطأ/فارغ. حذف نص P1-1 القديم.</t>
        </is>
      </c>
      <c r="H24" s="31" t="inlineStr">
        <is>
          <t>routes/_authenticated/teacher.courses.tsx</t>
        </is>
      </c>
      <c r="I24" s="31" t="inlineStr">
        <is>
          <t>Course/GetAll (أو بديل حسب Q-01)</t>
        </is>
      </c>
      <c r="J24" s="31" t="inlineStr">
        <is>
          <t>WP-00</t>
        </is>
      </c>
      <c r="K24" s="31" t="inlineStr">
        <is>
          <t>P0</t>
        </is>
      </c>
      <c r="L24" s="31" t="inlineStr">
        <is>
          <t>M</t>
        </is>
      </c>
      <c r="M24" s="30" t="inlineStr">
        <is>
          <t>لم يبدأ</t>
        </is>
      </c>
      <c r="N24" s="30" t="n"/>
      <c r="O24" s="30" t="n"/>
      <c r="P24" s="43">
        <f>IFERROR(INDEX(WorkPackages!$H$5:$H$40,MATCH(B24,WorkPackages!$A$5:$A$40,0)),"")</f>
        <v/>
      </c>
      <c r="Q24" s="42" t="n"/>
      <c r="R24" s="42" t="n"/>
      <c r="S24" s="30" t="inlineStr">
        <is>
          <t>لا</t>
        </is>
      </c>
      <c r="T24" s="30" t="n"/>
      <c r="U24" s="31" t="inlineStr">
        <is>
          <t>نعم</t>
        </is>
      </c>
      <c r="V24" s="31" t="inlineStr">
        <is>
          <t>بعد JSON</t>
        </is>
      </c>
      <c r="W24" s="31" t="inlineStr">
        <is>
          <t>NE-10</t>
        </is>
      </c>
      <c r="X24" s="43">
        <f>IF(W24="","—",IFERROR(IF(INDEX(BackendChecklist!$H$5:$H$30,MATCH(W24,BackendChecklist!$A$5:$A$30,0))="نعم","جاهز للبدء",IF(V24="الآن (بنمط seam)","يبدأ بنمط seam — الربط ينتظر","ينتظر الباك اند")),"؟"))</f>
        <v/>
      </c>
    </row>
    <row r="25" ht="42" customHeight="1" s="26">
      <c r="A25" s="41" t="inlineStr">
        <is>
          <t>T1-02</t>
        </is>
      </c>
      <c r="B25" s="31" t="inlineStr">
        <is>
          <t>WP-T1</t>
        </is>
      </c>
      <c r="C25" s="43">
        <f>IFERROR(INDEX(WorkPackages!$C$5:$C$40,MATCH(B25,WorkPackages!$A$5:$A$40,0)),"")</f>
        <v/>
      </c>
      <c r="D25" s="31" t="inlineStr">
        <is>
          <t>FR-I01</t>
        </is>
      </c>
      <c r="E25" s="31" t="inlineStr">
        <is>
          <t>UI</t>
        </is>
      </c>
      <c r="F25" s="31" t="inlineStr">
        <is>
          <t>أزرار «إنشاء كورس حضوري/أونلاين»</t>
        </is>
      </c>
      <c r="G25" s="31" t="inlineStr">
        <is>
          <t>تنقّل إلى /teacher/course/new?type=1|2 (التحقق من search param بـ zod).</t>
        </is>
      </c>
      <c r="H25" s="31" t="inlineStr">
        <is>
          <t>routes/_authenticated/teacher.courses.tsx</t>
        </is>
      </c>
      <c r="I25" s="31" t="inlineStr">
        <is>
          <t>—</t>
        </is>
      </c>
      <c r="J25" s="31" t="inlineStr">
        <is>
          <t>T1-01</t>
        </is>
      </c>
      <c r="K25" s="31" t="inlineStr">
        <is>
          <t>P1</t>
        </is>
      </c>
      <c r="L25" s="31" t="inlineStr">
        <is>
          <t>S</t>
        </is>
      </c>
      <c r="M25" s="30" t="inlineStr">
        <is>
          <t>قيد المراجعة</t>
        </is>
      </c>
      <c r="N25" s="30" t="inlineStr">
        <is>
          <t>المستخدم</t>
        </is>
      </c>
      <c r="O25" s="30" t="inlineStr">
        <is>
          <t>A-user (منفّذ)</t>
        </is>
      </c>
      <c r="P25" s="43">
        <f>IFERROR(INDEX(WorkPackages!$H$5:$H$40,MATCH(B25,WorkPackages!$A$5:$A$40,0)),"")</f>
        <v/>
      </c>
      <c r="Q25" s="42" t="n"/>
      <c r="R25" s="42" t="n"/>
      <c r="S25" s="30" t="inlineStr">
        <is>
          <t>لا</t>
        </is>
      </c>
      <c r="T25" s="30" t="inlineStr">
        <is>
          <t>نفّذه المستخدم؛ أضاف validateSearch (zod) لـteacher.course.$id.tsx (ملف T1) كي يقبل Link search بـtsc</t>
        </is>
      </c>
      <c r="U25" s="31" t="inlineStr">
        <is>
          <t>لا</t>
        </is>
      </c>
      <c r="V25" s="31" t="inlineStr">
        <is>
          <t>منفّذ — قيد المراجعة</t>
        </is>
      </c>
      <c r="W25" s="31" t="n"/>
      <c r="X25" s="43">
        <f>IF(W25="","—",IFERROR(IF(INDEX(BackendChecklist!$H$5:$H$30,MATCH(W25,BackendChecklist!$A$5:$A$30,0))="نعم","جاهز للبدء",IF(V25="الآن (بنمط seam)","يبدأ بنمط seam — الربط ينتظر","ينتظر الباك اند")),"؟"))</f>
        <v/>
      </c>
    </row>
    <row r="26" ht="42" customHeight="1" s="26">
      <c r="A26" s="41" t="inlineStr">
        <is>
          <t>T1-03</t>
        </is>
      </c>
      <c r="B26" s="31" t="inlineStr">
        <is>
          <t>WP-T1</t>
        </is>
      </c>
      <c r="C26" s="43">
        <f>IFERROR(INDEX(WorkPackages!$C$5:$C$40,MATCH(B26,WorkPackages!$A$5:$A$40,0)),"")</f>
        <v/>
      </c>
      <c r="D26" s="31" t="inlineStr">
        <is>
          <t>FR-I01</t>
        </is>
      </c>
      <c r="E26" s="31" t="inlineStr">
        <is>
          <t>UI</t>
        </is>
      </c>
      <c r="F26" s="31" t="inlineStr">
        <is>
          <t>نموذج تفاصيل الكورس (حضوري)</t>
        </is>
      </c>
      <c r="G26" s="31" t="inlineStr">
        <is>
          <t>الحقول: العنوان، الوصف، المادة، التصنيف، الصف، السعر، الحد الأقصى، اسم المجموعة. تحقق بـ zod ورسائل. إرسال CreateEdit ثم الانتقال لـ /teacher/course/{returnId}.</t>
        </is>
      </c>
      <c r="H26" s="31" t="inlineStr">
        <is>
          <t>components/teacher/course-details-tab.tsx</t>
        </is>
      </c>
      <c r="I26" s="31" t="inlineStr">
        <is>
          <t>Course/CreateEdit</t>
        </is>
      </c>
      <c r="J26" s="31" t="inlineStr">
        <is>
          <t>T1-05</t>
        </is>
      </c>
      <c r="K26" s="31" t="inlineStr">
        <is>
          <t>P0</t>
        </is>
      </c>
      <c r="L26" s="31" t="inlineStr">
        <is>
          <t>M</t>
        </is>
      </c>
      <c r="M26" s="30" t="inlineStr">
        <is>
          <t>لم يبدأ</t>
        </is>
      </c>
      <c r="N26" s="30" t="n"/>
      <c r="O26" s="30" t="inlineStr">
        <is>
          <t>مرشّح للبدء الآن</t>
        </is>
      </c>
      <c r="P26" s="43">
        <f>IFERROR(INDEX(WorkPackages!$H$5:$H$40,MATCH(B26,WorkPackages!$A$5:$A$40,0)),"")</f>
        <v/>
      </c>
      <c r="Q26" s="42" t="n"/>
      <c r="R26" s="42" t="n"/>
      <c r="S26" s="30" t="inlineStr">
        <is>
          <t>لا</t>
        </is>
      </c>
      <c r="T26" s="30" t="n"/>
      <c r="U26" s="31" t="inlineStr">
        <is>
          <t>جزئي</t>
        </is>
      </c>
      <c r="V26" s="31" t="inlineStr">
        <is>
          <t>الآن (بنمط seam)</t>
        </is>
      </c>
      <c r="W26" s="31" t="inlineStr">
        <is>
          <t>NE-13</t>
        </is>
      </c>
      <c r="X26" s="43">
        <f>IF(W26="","—",IFERROR(IF(INDEX(BackendChecklist!$H$5:$H$30,MATCH(W26,BackendChecklist!$A$5:$A$30,0))="نعم","جاهز للبدء",IF(V26="الآن (بنمط seam)","يبدأ بنمط seam — الربط ينتظر","ينتظر الباك اند")),"؟"))</f>
        <v/>
      </c>
    </row>
    <row r="27" ht="42" customHeight="1" s="26">
      <c r="A27" s="41" t="inlineStr">
        <is>
          <t>T1-04</t>
        </is>
      </c>
      <c r="B27" s="31" t="inlineStr">
        <is>
          <t>WP-T1</t>
        </is>
      </c>
      <c r="C27" s="43">
        <f>IFERROR(INDEX(WorkPackages!$C$5:$C$40,MATCH(B27,WorkPackages!$A$5:$A$40,0)),"")</f>
        <v/>
      </c>
      <c r="D27" s="31" t="inlineStr">
        <is>
          <t>FR-I05</t>
        </is>
      </c>
      <c r="E27" s="31" t="inlineStr">
        <is>
          <t>UI</t>
        </is>
      </c>
      <c r="F27" s="31" t="inlineStr">
        <is>
          <t>نموذج تفاصيل الكورس (أونلاين)</t>
        </is>
      </c>
      <c r="G27" s="31" t="inlineStr">
        <is>
          <t>نفس النموذج مع deliveryType=2 وتلميحات خاصة بالأونلاين (المنصة تُحدَّد على مستوى الدرس FR-I07).</t>
        </is>
      </c>
      <c r="H27" s="31" t="inlineStr">
        <is>
          <t>components/teacher/course-details-tab.tsx</t>
        </is>
      </c>
      <c r="I27" s="31" t="inlineStr">
        <is>
          <t>Course/CreateEdit</t>
        </is>
      </c>
      <c r="J27" s="31" t="inlineStr">
        <is>
          <t>T1-03</t>
        </is>
      </c>
      <c r="K27" s="31" t="inlineStr">
        <is>
          <t>P1</t>
        </is>
      </c>
      <c r="L27" s="31" t="inlineStr">
        <is>
          <t>S</t>
        </is>
      </c>
      <c r="M27" s="30" t="inlineStr">
        <is>
          <t>لم يبدأ</t>
        </is>
      </c>
      <c r="N27" s="30" t="n"/>
      <c r="O27" s="30" t="inlineStr">
        <is>
          <t>مرشّح للبدء الآن</t>
        </is>
      </c>
      <c r="P27" s="43">
        <f>IFERROR(INDEX(WorkPackages!$H$5:$H$40,MATCH(B27,WorkPackages!$A$5:$A$40,0)),"")</f>
        <v/>
      </c>
      <c r="Q27" s="42" t="n"/>
      <c r="R27" s="42" t="n"/>
      <c r="S27" s="30" t="inlineStr">
        <is>
          <t>لا</t>
        </is>
      </c>
      <c r="T27" s="30" t="n"/>
      <c r="U27" s="31" t="inlineStr">
        <is>
          <t>جزئي</t>
        </is>
      </c>
      <c r="V27" s="31" t="inlineStr">
        <is>
          <t>الآن (بنمط seam)</t>
        </is>
      </c>
      <c r="W27" s="31" t="inlineStr">
        <is>
          <t>NE-13</t>
        </is>
      </c>
      <c r="X27" s="43">
        <f>IF(W27="","—",IFERROR(IF(INDEX(BackendChecklist!$H$5:$H$30,MATCH(W27,BackendChecklist!$A$5:$A$30,0))="نعم","جاهز للبدء",IF(V27="الآن (بنمط seam)","يبدأ بنمط seam — الربط ينتظر","ينتظر الباك اند")),"؟"))</f>
        <v/>
      </c>
    </row>
    <row r="28" ht="42" customHeight="1" s="26">
      <c r="A28" s="41" t="inlineStr">
        <is>
          <t>T1-05</t>
        </is>
      </c>
      <c r="B28" s="31" t="inlineStr">
        <is>
          <t>WP-T1</t>
        </is>
      </c>
      <c r="C28" s="43">
        <f>IFERROR(INDEX(WorkPackages!$C$5:$C$40,MATCH(B28,WorkPackages!$A$5:$A$40,0)),"")</f>
        <v/>
      </c>
      <c r="D28" s="31" t="inlineStr">
        <is>
          <t>FR-I01</t>
        </is>
      </c>
      <c r="E28" s="31" t="inlineStr">
        <is>
          <t>UI</t>
        </is>
      </c>
      <c r="F28" s="31" t="inlineStr">
        <is>
          <t>مصادر المادة/التصنيف/الصف</t>
        </is>
      </c>
      <c r="G28" s="31" t="inlineStr">
        <is>
          <t>قوائم الاختيار من endpoints مؤكَّدة (Q-04). لو القائمة فاضية: رسالة صادقة بدل بيانات مخترعة.</t>
        </is>
      </c>
      <c r="H28" s="31" t="inlineStr">
        <is>
          <t>components/teacher/course-details-tab.tsx</t>
        </is>
      </c>
      <c r="I28" s="31" t="inlineStr">
        <is>
          <t>Teacher/CreateEditModal, Constant/GetAll (يُحسم بـ Q-04)</t>
        </is>
      </c>
      <c r="J28" s="31" t="inlineStr">
        <is>
          <t>WP-00</t>
        </is>
      </c>
      <c r="K28" s="31" t="inlineStr">
        <is>
          <t>P0</t>
        </is>
      </c>
      <c r="L28" s="31" t="inlineStr">
        <is>
          <t>M</t>
        </is>
      </c>
      <c r="M28" s="30" t="inlineStr">
        <is>
          <t>لم يبدأ</t>
        </is>
      </c>
      <c r="N28" s="30" t="n"/>
      <c r="O28" s="30" t="n"/>
      <c r="P28" s="43">
        <f>IFERROR(INDEX(WorkPackages!$H$5:$H$40,MATCH(B28,WorkPackages!$A$5:$A$40,0)),"")</f>
        <v/>
      </c>
      <c r="Q28" s="42" t="n"/>
      <c r="R28" s="42" t="n"/>
      <c r="S28" s="30" t="inlineStr">
        <is>
          <t>لا</t>
        </is>
      </c>
      <c r="T28" s="30" t="n"/>
      <c r="U28" s="31" t="inlineStr">
        <is>
          <t>نعم</t>
        </is>
      </c>
      <c r="V28" s="31" t="inlineStr">
        <is>
          <t>بعد JSON</t>
        </is>
      </c>
      <c r="W28" s="31" t="inlineStr">
        <is>
          <t>NE-13</t>
        </is>
      </c>
      <c r="X28" s="43">
        <f>IF(W28="","—",IFERROR(IF(INDEX(BackendChecklist!$H$5:$H$30,MATCH(W28,BackendChecklist!$A$5:$A$30,0))="نعم","جاهز للبدء",IF(V28="الآن (بنمط seam)","يبدأ بنمط seam — الربط ينتظر","ينتظر الباك اند")),"؟"))</f>
        <v/>
      </c>
    </row>
    <row r="29" ht="42" customHeight="1" s="26">
      <c r="A29" s="41" t="inlineStr">
        <is>
          <t>T1-06</t>
        </is>
      </c>
      <c r="B29" s="31" t="inlineStr">
        <is>
          <t>WP-T1</t>
        </is>
      </c>
      <c r="C29" s="43">
        <f>IFERROR(INDEX(WorkPackages!$C$5:$C$40,MATCH(B29,WorkPackages!$A$5:$A$40,0)),"")</f>
        <v/>
      </c>
      <c r="D29" s="31" t="inlineStr">
        <is>
          <t>FR-I01</t>
        </is>
      </c>
      <c r="E29" s="31" t="inlineStr">
        <is>
          <t>UI</t>
        </is>
      </c>
      <c r="F29" s="31" t="inlineStr">
        <is>
          <t>مسار «حفظ كمسودة / نشر»</t>
        </is>
      </c>
      <c r="G29" s="31" t="inlineStr">
        <is>
          <t>saveAsDraft + تبديل النشر؛ إظهار حالة الكورس بعد الحفظ.</t>
        </is>
      </c>
      <c r="H29" s="31" t="inlineStr">
        <is>
          <t>components/teacher/course-details-tab.tsx</t>
        </is>
      </c>
      <c r="I29" s="31" t="inlineStr">
        <is>
          <t>Course/CreateEdit</t>
        </is>
      </c>
      <c r="J29" s="31" t="inlineStr">
        <is>
          <t>T1-03</t>
        </is>
      </c>
      <c r="K29" s="31" t="inlineStr">
        <is>
          <t>P1</t>
        </is>
      </c>
      <c r="L29" s="31" t="inlineStr">
        <is>
          <t>S</t>
        </is>
      </c>
      <c r="M29" s="30" t="inlineStr">
        <is>
          <t>لم يبدأ</t>
        </is>
      </c>
      <c r="N29" s="30" t="n"/>
      <c r="O29" s="30" t="inlineStr">
        <is>
          <t>مرشّح للبدء الآن</t>
        </is>
      </c>
      <c r="P29" s="43">
        <f>IFERROR(INDEX(WorkPackages!$H$5:$H$40,MATCH(B29,WorkPackages!$A$5:$A$40,0)),"")</f>
        <v/>
      </c>
      <c r="Q29" s="42" t="n"/>
      <c r="R29" s="42" t="n"/>
      <c r="S29" s="30" t="inlineStr">
        <is>
          <t>لا</t>
        </is>
      </c>
      <c r="T29" s="30" t="n"/>
      <c r="U29" s="31" t="inlineStr">
        <is>
          <t>جزئي</t>
        </is>
      </c>
      <c r="V29" s="31" t="inlineStr">
        <is>
          <t>الآن (بنمط seam)</t>
        </is>
      </c>
      <c r="W29" s="31" t="inlineStr">
        <is>
          <t>NE-13</t>
        </is>
      </c>
      <c r="X29" s="43">
        <f>IF(W29="","—",IFERROR(IF(INDEX(BackendChecklist!$H$5:$H$30,MATCH(W29,BackendChecklist!$A$5:$A$30,0))="نعم","جاهز للبدء",IF(V29="الآن (بنمط seam)","يبدأ بنمط seam — الربط ينتظر","ينتظر الباك اند")),"؟"))</f>
        <v/>
      </c>
    </row>
    <row r="30" ht="42" customHeight="1" s="26">
      <c r="A30" s="41" t="inlineStr">
        <is>
          <t>T1-07</t>
        </is>
      </c>
      <c r="B30" s="31" t="inlineStr">
        <is>
          <t>WP-T1</t>
        </is>
      </c>
      <c r="C30" s="43">
        <f>IFERROR(INDEX(WorkPackages!$C$5:$C$40,MATCH(B30,WorkPackages!$A$5:$A$40,0)),"")</f>
        <v/>
      </c>
      <c r="D30" s="31" t="inlineStr">
        <is>
          <t>FR-I01</t>
        </is>
      </c>
      <c r="E30" s="31" t="inlineStr">
        <is>
          <t>UI</t>
        </is>
      </c>
      <c r="F30" s="31" t="inlineStr">
        <is>
          <t>Shell شاشة الكورس + التبويبات</t>
        </is>
      </c>
      <c r="G30" s="31" t="inlineStr">
        <is>
          <t>teacher.course.$id: ترويسة + SegmentedTabs عبر ?tab= (details|group|students|lessons)، تعطيل التبويبات قبل حفظ الكورس، تمرير course للتبويبات حسب العقد C-01.</t>
        </is>
      </c>
      <c r="H30" s="31" t="inlineStr">
        <is>
          <t>routes/_authenticated/teacher.course.$id.tsx</t>
        </is>
      </c>
      <c r="I30" s="31" t="inlineStr">
        <is>
          <t>Course/GetMineById</t>
        </is>
      </c>
      <c r="J30" s="31" t="inlineStr">
        <is>
          <t>WP-00</t>
        </is>
      </c>
      <c r="K30" s="31" t="inlineStr">
        <is>
          <t>P0</t>
        </is>
      </c>
      <c r="L30" s="31" t="inlineStr">
        <is>
          <t>M</t>
        </is>
      </c>
      <c r="M30" s="30" t="inlineStr">
        <is>
          <t>لم يبدأ</t>
        </is>
      </c>
      <c r="N30" s="30" t="n"/>
      <c r="O30" s="30" t="n"/>
      <c r="P30" s="43">
        <f>IFERROR(INDEX(WorkPackages!$H$5:$H$40,MATCH(B30,WorkPackages!$A$5:$A$40,0)),"")</f>
        <v/>
      </c>
      <c r="Q30" s="42" t="n"/>
      <c r="R30" s="42" t="n"/>
      <c r="S30" s="30" t="inlineStr">
        <is>
          <t>لا</t>
        </is>
      </c>
      <c r="T30" s="30" t="n"/>
      <c r="U30" s="31" t="inlineStr">
        <is>
          <t>نعم</t>
        </is>
      </c>
      <c r="V30" s="31" t="inlineStr">
        <is>
          <t>بعد JSON</t>
        </is>
      </c>
      <c r="W30" s="31" t="inlineStr">
        <is>
          <t>NE-09</t>
        </is>
      </c>
      <c r="X30" s="43">
        <f>IF(W30="","—",IFERROR(IF(INDEX(BackendChecklist!$H$5:$H$30,MATCH(W30,BackendChecklist!$A$5:$A$30,0))="نعم","جاهز للبدء",IF(V30="الآن (بنمط seam)","يبدأ بنمط seam — الربط ينتظر","ينتظر الباك اند")),"؟"))</f>
        <v/>
      </c>
    </row>
    <row r="31" ht="42" customHeight="1" s="26">
      <c r="A31" s="41" t="inlineStr">
        <is>
          <t>T1-08</t>
        </is>
      </c>
      <c r="B31" s="31" t="inlineStr">
        <is>
          <t>WP-T1</t>
        </is>
      </c>
      <c r="C31" s="43">
        <f>IFERROR(INDEX(WorkPackages!$C$5:$C$40,MATCH(B31,WorkPackages!$A$5:$A$40,0)),"")</f>
        <v/>
      </c>
      <c r="D31" s="31" t="inlineStr">
        <is>
          <t>FR-I01</t>
        </is>
      </c>
      <c r="E31" s="31" t="inlineStr">
        <is>
          <t>Test</t>
        </is>
      </c>
      <c r="F31" s="31" t="inlineStr">
        <is>
          <t>اختبارات مخطط التحقق</t>
        </is>
      </c>
      <c r="G31" s="31" t="inlineStr">
        <is>
          <t>اختبارات vitest لقواعد النموذج (حقول مطلوبة، سعر ≥ 0، سعة ≥ 1).</t>
        </is>
      </c>
      <c r="H31" s="31" t="inlineStr">
        <is>
          <t>components/teacher/course-details-tab.test.ts</t>
        </is>
      </c>
      <c r="I31" s="31" t="inlineStr">
        <is>
          <t>—</t>
        </is>
      </c>
      <c r="J31" s="31" t="inlineStr">
        <is>
          <t>T1-03</t>
        </is>
      </c>
      <c r="K31" s="31" t="inlineStr">
        <is>
          <t>P1</t>
        </is>
      </c>
      <c r="L31" s="31" t="inlineStr">
        <is>
          <t>S</t>
        </is>
      </c>
      <c r="M31" s="30" t="inlineStr">
        <is>
          <t>لم يبدأ</t>
        </is>
      </c>
      <c r="N31" s="30" t="n"/>
      <c r="O31" s="30" t="inlineStr">
        <is>
          <t>مرشّح للبدء الآن</t>
        </is>
      </c>
      <c r="P31" s="43">
        <f>IFERROR(INDEX(WorkPackages!$H$5:$H$40,MATCH(B31,WorkPackages!$A$5:$A$40,0)),"")</f>
        <v/>
      </c>
      <c r="Q31" s="42" t="n"/>
      <c r="R31" s="42" t="n"/>
      <c r="S31" s="30" t="inlineStr">
        <is>
          <t>لا</t>
        </is>
      </c>
      <c r="T31" s="30" t="n"/>
      <c r="U31" s="31" t="inlineStr">
        <is>
          <t>جزئي</t>
        </is>
      </c>
      <c r="V31" s="31" t="inlineStr">
        <is>
          <t>الآن (بنمط seam)</t>
        </is>
      </c>
      <c r="W31" s="31" t="n"/>
      <c r="X31" s="43">
        <f>IF(W31="","—",IFERROR(IF(INDEX(BackendChecklist!$H$5:$H$30,MATCH(W31,BackendChecklist!$A$5:$A$30,0))="نعم","جاهز للبدء",IF(V31="الآن (بنمط seam)","يبدأ بنمط seam — الربط ينتظر","ينتظر الباك اند")),"؟"))</f>
        <v/>
      </c>
    </row>
    <row r="32" ht="42" customHeight="1" s="26">
      <c r="A32" s="41" t="inlineStr">
        <is>
          <t>T2-01</t>
        </is>
      </c>
      <c r="B32" s="31" t="inlineStr">
        <is>
          <t>WP-T2</t>
        </is>
      </c>
      <c r="C32" s="43">
        <f>IFERROR(INDEX(WorkPackages!$C$5:$C$40,MATCH(B32,WorkPackages!$A$5:$A$40,0)),"")</f>
        <v/>
      </c>
      <c r="D32" s="31" t="inlineStr">
        <is>
          <t>FR-I02</t>
        </is>
      </c>
      <c r="E32" s="31" t="inlineStr">
        <is>
          <t>UI</t>
        </is>
      </c>
      <c r="F32" s="31" t="inlineStr">
        <is>
          <t>نموذج إعداد مجموعة حضورية</t>
        </is>
      </c>
      <c r="G32" s="31" t="inlineStr">
        <is>
          <t>الحد الأقصى للطلاب، تاريخ بداية/نهاية الكورس، مدة الدرس الافتراضية، صفوف أيام الحضور (يوم + وقت) قابلة للإضافة/الحذف → ConfigureGroupSchedule.</t>
        </is>
      </c>
      <c r="H32" s="31" t="inlineStr">
        <is>
          <t>components/teacher/group-config-tab.tsx</t>
        </is>
      </c>
      <c r="I32" s="31" t="inlineStr">
        <is>
          <t>Course/ConfigureGroupSchedule</t>
        </is>
      </c>
      <c r="J32" s="31" t="inlineStr">
        <is>
          <t>WP-00</t>
        </is>
      </c>
      <c r="K32" s="31" t="inlineStr">
        <is>
          <t>P0</t>
        </is>
      </c>
      <c r="L32" s="31" t="inlineStr">
        <is>
          <t>M</t>
        </is>
      </c>
      <c r="M32" s="30" t="inlineStr">
        <is>
          <t>لم يبدأ</t>
        </is>
      </c>
      <c r="N32" s="30" t="n"/>
      <c r="O32" s="30" t="inlineStr">
        <is>
          <t>مرشّح للبدء الآن</t>
        </is>
      </c>
      <c r="P32" s="43">
        <f>IFERROR(INDEX(WorkPackages!$H$5:$H$40,MATCH(B32,WorkPackages!$A$5:$A$40,0)),"")</f>
        <v/>
      </c>
      <c r="Q32" s="42" t="n"/>
      <c r="R32" s="42" t="n"/>
      <c r="S32" s="30" t="inlineStr">
        <is>
          <t>لا</t>
        </is>
      </c>
      <c r="T32" s="30" t="n"/>
      <c r="U32" s="31" t="inlineStr">
        <is>
          <t>جزئي</t>
        </is>
      </c>
      <c r="V32" s="31" t="inlineStr">
        <is>
          <t>الآن (بنمط seam)</t>
        </is>
      </c>
      <c r="W32" s="31" t="inlineStr">
        <is>
          <t>NE-09</t>
        </is>
      </c>
      <c r="X32" s="43">
        <f>IF(W32="","—",IFERROR(IF(INDEX(BackendChecklist!$H$5:$H$30,MATCH(W32,BackendChecklist!$A$5:$A$30,0))="نعم","جاهز للبدء",IF(V32="الآن (بنمط seam)","يبدأ بنمط seam — الربط ينتظر","ينتظر الباك اند")),"؟"))</f>
        <v/>
      </c>
    </row>
    <row r="33" ht="42" customHeight="1" s="26">
      <c r="A33" s="41" t="inlineStr">
        <is>
          <t>T2-02</t>
        </is>
      </c>
      <c r="B33" s="31" t="inlineStr">
        <is>
          <t>WP-T2</t>
        </is>
      </c>
      <c r="C33" s="43">
        <f>IFERROR(INDEX(WorkPackages!$C$5:$C$40,MATCH(B33,WorkPackages!$A$5:$A$40,0)),"")</f>
        <v/>
      </c>
      <c r="D33" s="31" t="inlineStr">
        <is>
          <t>FR-I06</t>
        </is>
      </c>
      <c r="E33" s="31" t="inlineStr">
        <is>
          <t>UI</t>
        </is>
      </c>
      <c r="F33" s="31" t="inlineStr">
        <is>
          <t>نفس النموذج للمجموعة الأونلاين</t>
        </is>
      </c>
      <c r="G33" s="31" t="inlineStr">
        <is>
          <t>حسب deliveryType للكورس: عناوين ونصوص مساعدة مختلفة، نفس الحقول.</t>
        </is>
      </c>
      <c r="H33" s="31" t="inlineStr">
        <is>
          <t>components/teacher/group-config-tab.tsx</t>
        </is>
      </c>
      <c r="I33" s="31" t="inlineStr">
        <is>
          <t>Course/ConfigureGroupSchedule</t>
        </is>
      </c>
      <c r="J33" s="31" t="inlineStr">
        <is>
          <t>T2-01</t>
        </is>
      </c>
      <c r="K33" s="31" t="inlineStr">
        <is>
          <t>P0</t>
        </is>
      </c>
      <c r="L33" s="31" t="inlineStr">
        <is>
          <t>S</t>
        </is>
      </c>
      <c r="M33" s="30" t="inlineStr">
        <is>
          <t>لم يبدأ</t>
        </is>
      </c>
      <c r="N33" s="30" t="n"/>
      <c r="O33" s="30" t="inlineStr">
        <is>
          <t>مرشّح للبدء الآن</t>
        </is>
      </c>
      <c r="P33" s="43">
        <f>IFERROR(INDEX(WorkPackages!$H$5:$H$40,MATCH(B33,WorkPackages!$A$5:$A$40,0)),"")</f>
        <v/>
      </c>
      <c r="Q33" s="42" t="n"/>
      <c r="R33" s="42" t="n"/>
      <c r="S33" s="30" t="inlineStr">
        <is>
          <t>لا</t>
        </is>
      </c>
      <c r="T33" s="30" t="n"/>
      <c r="U33" s="31" t="inlineStr">
        <is>
          <t>جزئي</t>
        </is>
      </c>
      <c r="V33" s="31" t="inlineStr">
        <is>
          <t>الآن (بنمط seam)</t>
        </is>
      </c>
      <c r="W33" s="31" t="inlineStr">
        <is>
          <t>NE-09</t>
        </is>
      </c>
      <c r="X33" s="43">
        <f>IF(W33="","—",IFERROR(IF(INDEX(BackendChecklist!$H$5:$H$30,MATCH(W33,BackendChecklist!$A$5:$A$30,0))="نعم","جاهز للبدء",IF(V33="الآن (بنمط seam)","يبدأ بنمط seam — الربط ينتظر","ينتظر الباك اند")),"؟"))</f>
        <v/>
      </c>
    </row>
    <row r="34" ht="42" customHeight="1" s="26">
      <c r="A34" s="41" t="inlineStr">
        <is>
          <t>T2-03</t>
        </is>
      </c>
      <c r="B34" s="31" t="inlineStr">
        <is>
          <t>WP-T2</t>
        </is>
      </c>
      <c r="C34" s="43">
        <f>IFERROR(INDEX(WorkPackages!$C$5:$C$40,MATCH(B34,WorkPackages!$A$5:$A$40,0)),"")</f>
        <v/>
      </c>
      <c r="D34" s="31" t="inlineStr">
        <is>
          <t>FR-I02</t>
        </is>
      </c>
      <c r="E34" s="31" t="inlineStr">
        <is>
          <t>UI</t>
        </is>
      </c>
      <c r="F34" s="31" t="inlineStr">
        <is>
          <t>التحقق من صحة الجدول (عميل)</t>
        </is>
      </c>
      <c r="G34" s="31" t="inlineStr">
        <is>
          <t>نهاية ≥ بداية، مدة &gt; 0، سعة ≥ 1، يوم واحد على الأقل بدون تكرار نفس اليوم، الوقت صالح.</t>
        </is>
      </c>
      <c r="H34" s="31" t="inlineStr">
        <is>
          <t>components/teacher/group-config-tab.tsx</t>
        </is>
      </c>
      <c r="I34" s="31" t="inlineStr">
        <is>
          <t>—</t>
        </is>
      </c>
      <c r="J34" s="31" t="inlineStr">
        <is>
          <t>T2-01</t>
        </is>
      </c>
      <c r="K34" s="31" t="inlineStr">
        <is>
          <t>P0</t>
        </is>
      </c>
      <c r="L34" s="31" t="inlineStr">
        <is>
          <t>S</t>
        </is>
      </c>
      <c r="M34" s="30" t="inlineStr">
        <is>
          <t>قيد المراجعة</t>
        </is>
      </c>
      <c r="N34" s="30" t="inlineStr">
        <is>
          <t>المستخدم</t>
        </is>
      </c>
      <c r="O34" s="30" t="inlineStr">
        <is>
          <t>A-user (منفّذ)</t>
        </is>
      </c>
      <c r="P34" s="43">
        <f>IFERROR(INDEX(WorkPackages!$H$5:$H$40,MATCH(B34,WorkPackages!$A$5:$A$40,0)),"")</f>
        <v/>
      </c>
      <c r="Q34" s="42" t="n"/>
      <c r="R34" s="42" t="n"/>
      <c r="S34" s="30" t="inlineStr">
        <is>
          <t>لا</t>
        </is>
      </c>
      <c r="T34" s="30" t="inlineStr">
        <is>
          <t>نفّذه المستخدم (wave1-half-claude-files.zip)؛ بانتظار validate</t>
        </is>
      </c>
      <c r="U34" s="31" t="inlineStr">
        <is>
          <t>لا</t>
        </is>
      </c>
      <c r="V34" s="31" t="inlineStr">
        <is>
          <t>منفّذ — قيد المراجعة</t>
        </is>
      </c>
      <c r="W34" s="31" t="n"/>
      <c r="X34" s="43">
        <f>IF(W34="","—",IFERROR(IF(INDEX(BackendChecklist!$H$5:$H$30,MATCH(W34,BackendChecklist!$A$5:$A$30,0))="نعم","جاهز للبدء",IF(V34="الآن (بنمط seam)","يبدأ بنمط seam — الربط ينتظر","ينتظر الباك اند")),"؟"))</f>
        <v/>
      </c>
    </row>
    <row r="35" ht="42" customHeight="1" s="26">
      <c r="A35" s="41" t="inlineStr">
        <is>
          <t>T2-04</t>
        </is>
      </c>
      <c r="B35" s="31" t="inlineStr">
        <is>
          <t>WP-T2</t>
        </is>
      </c>
      <c r="C35" s="43">
        <f>IFERROR(INDEX(WorkPackages!$C$5:$C$40,MATCH(B35,WorkPackages!$A$5:$A$40,0)),"")</f>
        <v/>
      </c>
      <c r="D35" s="31" t="inlineStr">
        <is>
          <t>FR-I02</t>
        </is>
      </c>
      <c r="E35" s="31" t="inlineStr">
        <is>
          <t>UI</t>
        </is>
      </c>
      <c r="F35" s="31" t="inlineStr">
        <is>
          <t>تحميل الإعداد الحالي للتعديل</t>
        </is>
      </c>
      <c r="G35" s="31" t="inlineStr">
        <is>
          <t>Alternative Flow: تعديل الجدول/السعة قبل بدء الكورس. يعتمد على ما يرجعه GetMineById (Q-02). لو غير متاح: عرض آخر قيم محفوظة بالجلسة فقط وتوثيق ذلك.</t>
        </is>
      </c>
      <c r="H35" s="31" t="inlineStr">
        <is>
          <t>components/teacher/group-config-tab.tsx</t>
        </is>
      </c>
      <c r="I35" s="31" t="inlineStr">
        <is>
          <t>Course/GetMineById</t>
        </is>
      </c>
      <c r="J35" s="31" t="inlineStr">
        <is>
          <t>T2-01</t>
        </is>
      </c>
      <c r="K35" s="31" t="inlineStr">
        <is>
          <t>P1</t>
        </is>
      </c>
      <c r="L35" s="31" t="inlineStr">
        <is>
          <t>M</t>
        </is>
      </c>
      <c r="M35" s="30" t="inlineStr">
        <is>
          <t>لم يبدأ</t>
        </is>
      </c>
      <c r="N35" s="30" t="n"/>
      <c r="O35" s="30" t="n"/>
      <c r="P35" s="43">
        <f>IFERROR(INDEX(WorkPackages!$H$5:$H$40,MATCH(B35,WorkPackages!$A$5:$A$40,0)),"")</f>
        <v/>
      </c>
      <c r="Q35" s="42" t="n"/>
      <c r="R35" s="42" t="n"/>
      <c r="S35" s="30" t="inlineStr">
        <is>
          <t>لا</t>
        </is>
      </c>
      <c r="T35" s="30" t="n"/>
      <c r="U35" s="31" t="inlineStr">
        <is>
          <t>نعم</t>
        </is>
      </c>
      <c r="V35" s="31" t="inlineStr">
        <is>
          <t>بعد JSON</t>
        </is>
      </c>
      <c r="W35" s="31" t="inlineStr">
        <is>
          <t>NE-09</t>
        </is>
      </c>
      <c r="X35" s="43">
        <f>IF(W35="","—",IFERROR(IF(INDEX(BackendChecklist!$H$5:$H$30,MATCH(W35,BackendChecklist!$A$5:$A$30,0))="نعم","جاهز للبدء",IF(V35="الآن (بنمط seam)","يبدأ بنمط seam — الربط ينتظر","ينتظر الباك اند")),"؟"))</f>
        <v/>
      </c>
    </row>
    <row r="36" ht="42" customHeight="1" s="26">
      <c r="A36" s="41" t="inlineStr">
        <is>
          <t>T2-05</t>
        </is>
      </c>
      <c r="B36" s="31" t="inlineStr">
        <is>
          <t>WP-T2</t>
        </is>
      </c>
      <c r="C36" s="43">
        <f>IFERROR(INDEX(WorkPackages!$C$5:$C$40,MATCH(B36,WorkPackages!$A$5:$A$40,0)),"")</f>
        <v/>
      </c>
      <c r="D36" s="31" t="inlineStr">
        <is>
          <t>FR-I06</t>
        </is>
      </c>
      <c r="E36" s="31" t="inlineStr">
        <is>
          <t>UI</t>
        </is>
      </c>
      <c r="F36" s="31" t="inlineStr">
        <is>
          <t>عرض أخطاء الباك اند (تعارض/تحقق)</t>
        </is>
      </c>
      <c r="G36" s="31" t="inlineStr">
        <is>
          <t>رسائل التعارض مع دروس مجدولة تظهر بوضوح داخل النموذج وتمنع الحفظ (Exception Flow).</t>
        </is>
      </c>
      <c r="H36" s="31" t="inlineStr">
        <is>
          <t>components/teacher/group-config-tab.tsx</t>
        </is>
      </c>
      <c r="I36" s="31" t="inlineStr">
        <is>
          <t>—</t>
        </is>
      </c>
      <c r="J36" s="31" t="inlineStr">
        <is>
          <t>T2-01</t>
        </is>
      </c>
      <c r="K36" s="31" t="inlineStr">
        <is>
          <t>P0</t>
        </is>
      </c>
      <c r="L36" s="31" t="inlineStr">
        <is>
          <t>S</t>
        </is>
      </c>
      <c r="M36" s="30" t="inlineStr">
        <is>
          <t>لم يبدأ</t>
        </is>
      </c>
      <c r="N36" s="30" t="n"/>
      <c r="O36" s="30" t="inlineStr">
        <is>
          <t>مرشّح للبدء الآن</t>
        </is>
      </c>
      <c r="P36" s="43">
        <f>IFERROR(INDEX(WorkPackages!$H$5:$H$40,MATCH(B36,WorkPackages!$A$5:$A$40,0)),"")</f>
        <v/>
      </c>
      <c r="Q36" s="42" t="n"/>
      <c r="R36" s="42" t="n"/>
      <c r="S36" s="30" t="inlineStr">
        <is>
          <t>لا</t>
        </is>
      </c>
      <c r="T36" s="30" t="n"/>
      <c r="U36" s="31" t="inlineStr">
        <is>
          <t>جزئي</t>
        </is>
      </c>
      <c r="V36" s="31" t="inlineStr">
        <is>
          <t>الآن (بنمط seam)</t>
        </is>
      </c>
      <c r="W36" s="31" t="inlineStr">
        <is>
          <t>NE-09</t>
        </is>
      </c>
      <c r="X36" s="43">
        <f>IF(W36="","—",IFERROR(IF(INDEX(BackendChecklist!$H$5:$H$30,MATCH(W36,BackendChecklist!$A$5:$A$30,0))="نعم","جاهز للبدء",IF(V36="الآن (بنمط seam)","يبدأ بنمط seam — الربط ينتظر","ينتظر الباك اند")),"؟"))</f>
        <v/>
      </c>
    </row>
    <row r="37" ht="42" customHeight="1" s="26">
      <c r="A37" s="41" t="inlineStr">
        <is>
          <t>T2-06</t>
        </is>
      </c>
      <c r="B37" s="31" t="inlineStr">
        <is>
          <t>WP-T2</t>
        </is>
      </c>
      <c r="C37" s="43">
        <f>IFERROR(INDEX(WorkPackages!$C$5:$C$40,MATCH(B37,WorkPackages!$A$5:$A$40,0)),"")</f>
        <v/>
      </c>
      <c r="D37" s="31" t="inlineStr">
        <is>
          <t>FR-I02</t>
        </is>
      </c>
      <c r="E37" s="31" t="inlineStr">
        <is>
          <t>Test</t>
        </is>
      </c>
      <c r="F37" s="31" t="inlineStr">
        <is>
          <t>اختبارات المحققات</t>
        </is>
      </c>
      <c r="G37" s="31" t="inlineStr">
        <is>
          <t>اختبارات للتحقق من الجدول (نقية).</t>
        </is>
      </c>
      <c r="H37" s="31" t="inlineStr">
        <is>
          <t>components/teacher/group-config-tab.test.ts</t>
        </is>
      </c>
      <c r="I37" s="31" t="inlineStr">
        <is>
          <t>—</t>
        </is>
      </c>
      <c r="J37" s="31" t="inlineStr">
        <is>
          <t>T2-03</t>
        </is>
      </c>
      <c r="K37" s="31" t="inlineStr">
        <is>
          <t>P1</t>
        </is>
      </c>
      <c r="L37" s="31" t="inlineStr">
        <is>
          <t>S</t>
        </is>
      </c>
      <c r="M37" s="30" t="inlineStr">
        <is>
          <t>لم يبدأ</t>
        </is>
      </c>
      <c r="N37" s="30" t="n"/>
      <c r="O37" s="30" t="inlineStr">
        <is>
          <t>مرشّح للبدء الآن</t>
        </is>
      </c>
      <c r="P37" s="43">
        <f>IFERROR(INDEX(WorkPackages!$H$5:$H$40,MATCH(B37,WorkPackages!$A$5:$A$40,0)),"")</f>
        <v/>
      </c>
      <c r="Q37" s="42" t="n"/>
      <c r="R37" s="42" t="n"/>
      <c r="S37" s="30" t="inlineStr">
        <is>
          <t>لا</t>
        </is>
      </c>
      <c r="T37" s="30" t="n"/>
      <c r="U37" s="31" t="inlineStr">
        <is>
          <t>جزئي</t>
        </is>
      </c>
      <c r="V37" s="31" t="inlineStr">
        <is>
          <t>الآن (بنمط seam)</t>
        </is>
      </c>
      <c r="W37" s="31" t="inlineStr">
        <is>
          <t>NE-09</t>
        </is>
      </c>
      <c r="X37" s="43">
        <f>IF(W37="","—",IFERROR(IF(INDEX(BackendChecklist!$H$5:$H$30,MATCH(W37,BackendChecklist!$A$5:$A$30,0))="نعم","جاهز للبدء",IF(V37="الآن (بنمط seam)","يبدأ بنمط seam — الربط ينتظر","ينتظر الباك اند")),"؟"))</f>
        <v/>
      </c>
    </row>
    <row r="38" ht="42" customHeight="1" s="26">
      <c r="A38" s="41" t="inlineStr">
        <is>
          <t>T3-01</t>
        </is>
      </c>
      <c r="B38" s="31" t="inlineStr">
        <is>
          <t>WP-T3</t>
        </is>
      </c>
      <c r="C38" s="43">
        <f>IFERROR(INDEX(WorkPackages!$C$5:$C$40,MATCH(B38,WorkPackages!$A$5:$A$40,0)),"")</f>
        <v/>
      </c>
      <c r="D38" s="31" t="inlineStr">
        <is>
          <t>FR-I03</t>
        </is>
      </c>
      <c r="E38" s="31" t="inlineStr">
        <is>
          <t>UI</t>
        </is>
      </c>
      <c r="F38" s="31" t="inlineStr">
        <is>
          <t>جدول طلاب المجموعة</t>
        </is>
      </c>
      <c r="G38" s="31" t="inlineStr">
        <is>
          <t>اسم + هاتف + موقع فقط (حقول محدودة حسب ملاحظة الخصوصية في SRS). لا تعرض أي حقل إضافي يرجعه الباك اند.</t>
        </is>
      </c>
      <c r="H38" s="31" t="inlineStr">
        <is>
          <t>components/teacher/group-students-tab.tsx</t>
        </is>
      </c>
      <c r="I38" s="31" t="inlineStr">
        <is>
          <t>Course/GetGroupStudents</t>
        </is>
      </c>
      <c r="J38" s="31" t="inlineStr">
        <is>
          <t>WP-00</t>
        </is>
      </c>
      <c r="K38" s="31" t="inlineStr">
        <is>
          <t>P0</t>
        </is>
      </c>
      <c r="L38" s="31" t="inlineStr">
        <is>
          <t>S</t>
        </is>
      </c>
      <c r="M38" s="30" t="inlineStr">
        <is>
          <t>لم يبدأ</t>
        </is>
      </c>
      <c r="N38" s="30" t="n"/>
      <c r="O38" s="30" t="n"/>
      <c r="P38" s="43">
        <f>IFERROR(INDEX(WorkPackages!$H$5:$H$40,MATCH(B38,WorkPackages!$A$5:$A$40,0)),"")</f>
        <v/>
      </c>
      <c r="Q38" s="42" t="n"/>
      <c r="R38" s="42" t="n"/>
      <c r="S38" s="30" t="inlineStr">
        <is>
          <t>لا</t>
        </is>
      </c>
      <c r="T38" s="30" t="n"/>
      <c r="U38" s="31" t="inlineStr">
        <is>
          <t>نعم</t>
        </is>
      </c>
      <c r="V38" s="31" t="inlineStr">
        <is>
          <t>بعد JSON</t>
        </is>
      </c>
      <c r="W38" s="31" t="inlineStr">
        <is>
          <t>NE-11</t>
        </is>
      </c>
      <c r="X38" s="43">
        <f>IF(W38="","—",IFERROR(IF(INDEX(BackendChecklist!$H$5:$H$30,MATCH(W38,BackendChecklist!$A$5:$A$30,0))="نعم","جاهز للبدء",IF(V38="الآن (بنمط seam)","يبدأ بنمط seam — الربط ينتظر","ينتظر الباك اند")),"؟"))</f>
        <v/>
      </c>
    </row>
    <row r="39" ht="42" customHeight="1" s="26">
      <c r="A39" s="41" t="inlineStr">
        <is>
          <t>T3-02</t>
        </is>
      </c>
      <c r="B39" s="31" t="inlineStr">
        <is>
          <t>WP-T3</t>
        </is>
      </c>
      <c r="C39" s="43">
        <f>IFERROR(INDEX(WorkPackages!$C$5:$C$40,MATCH(B39,WorkPackages!$A$5:$A$40,0)),"")</f>
        <v/>
      </c>
      <c r="D39" s="31" t="inlineStr">
        <is>
          <t>FR-I03</t>
        </is>
      </c>
      <c r="E39" s="31" t="inlineStr">
        <is>
          <t>UI</t>
        </is>
      </c>
      <c r="F39" s="31" t="inlineStr">
        <is>
          <t>بحث بالاسم</t>
        </is>
      </c>
      <c r="G39" s="31" t="inlineStr">
        <is>
          <t>keyword مع useDebouncedValue (موجود بالمشروع).</t>
        </is>
      </c>
      <c r="H39" s="31" t="inlineStr">
        <is>
          <t>components/teacher/group-students-tab.tsx</t>
        </is>
      </c>
      <c r="I39" s="31" t="inlineStr">
        <is>
          <t>Course/GetGroupStudents</t>
        </is>
      </c>
      <c r="J39" s="31" t="inlineStr">
        <is>
          <t>T3-01</t>
        </is>
      </c>
      <c r="K39" s="31" t="inlineStr">
        <is>
          <t>P1</t>
        </is>
      </c>
      <c r="L39" s="31" t="inlineStr">
        <is>
          <t>S</t>
        </is>
      </c>
      <c r="M39" s="30" t="inlineStr">
        <is>
          <t>لم يبدأ</t>
        </is>
      </c>
      <c r="N39" s="30" t="n"/>
      <c r="O39" s="30" t="n"/>
      <c r="P39" s="43">
        <f>IFERROR(INDEX(WorkPackages!$H$5:$H$40,MATCH(B39,WorkPackages!$A$5:$A$40,0)),"")</f>
        <v/>
      </c>
      <c r="Q39" s="42" t="n"/>
      <c r="R39" s="42" t="n"/>
      <c r="S39" s="30" t="inlineStr">
        <is>
          <t>لا</t>
        </is>
      </c>
      <c r="T39" s="30" t="n"/>
      <c r="U39" s="31" t="inlineStr">
        <is>
          <t>نعم</t>
        </is>
      </c>
      <c r="V39" s="31" t="inlineStr">
        <is>
          <t>بعد JSON</t>
        </is>
      </c>
      <c r="W39" s="31" t="inlineStr">
        <is>
          <t>NE-11</t>
        </is>
      </c>
      <c r="X39" s="43">
        <f>IF(W39="","—",IFERROR(IF(INDEX(BackendChecklist!$H$5:$H$30,MATCH(W39,BackendChecklist!$A$5:$A$30,0))="نعم","جاهز للبدء",IF(V39="الآن (بنمط seam)","يبدأ بنمط seam — الربط ينتظر","ينتظر الباك اند")),"؟"))</f>
        <v/>
      </c>
    </row>
    <row r="40" ht="42" customHeight="1" s="26">
      <c r="A40" s="41" t="inlineStr">
        <is>
          <t>T3-03</t>
        </is>
      </c>
      <c r="B40" s="31" t="inlineStr">
        <is>
          <t>WP-T3</t>
        </is>
      </c>
      <c r="C40" s="43">
        <f>IFERROR(INDEX(WorkPackages!$C$5:$C$40,MATCH(B40,WorkPackages!$A$5:$A$40,0)),"")</f>
        <v/>
      </c>
      <c r="D40" s="31" t="inlineStr">
        <is>
          <t>FR-I03</t>
        </is>
      </c>
      <c r="E40" s="31" t="inlineStr">
        <is>
          <t>UI</t>
        </is>
      </c>
      <c r="F40" s="31" t="inlineStr">
        <is>
          <t>حالات التحميل/الخطأ/الفراغ</t>
        </is>
      </c>
      <c r="G40" s="31" t="inlineStr">
        <is>
          <t>رسالة «لا يوجد طلاب مقبولون بعد» عند الفراغ؛ ErrorState مع إعادة المحاولة.</t>
        </is>
      </c>
      <c r="H40" s="31" t="inlineStr">
        <is>
          <t>components/teacher/group-students-tab.tsx</t>
        </is>
      </c>
      <c r="I40" s="31" t="inlineStr">
        <is>
          <t>—</t>
        </is>
      </c>
      <c r="J40" s="31" t="inlineStr">
        <is>
          <t>T3-01</t>
        </is>
      </c>
      <c r="K40" s="31" t="inlineStr">
        <is>
          <t>P0</t>
        </is>
      </c>
      <c r="L40" s="31" t="inlineStr">
        <is>
          <t>S</t>
        </is>
      </c>
      <c r="M40" s="30" t="inlineStr">
        <is>
          <t>لم يبدأ</t>
        </is>
      </c>
      <c r="N40" s="30" t="n"/>
      <c r="O40" s="30" t="n"/>
      <c r="P40" s="43">
        <f>IFERROR(INDEX(WorkPackages!$H$5:$H$40,MATCH(B40,WorkPackages!$A$5:$A$40,0)),"")</f>
        <v/>
      </c>
      <c r="Q40" s="42" t="n"/>
      <c r="R40" s="42" t="n"/>
      <c r="S40" s="30" t="inlineStr">
        <is>
          <t>لا</t>
        </is>
      </c>
      <c r="T40" s="30" t="n"/>
      <c r="U40" s="31" t="inlineStr">
        <is>
          <t>نعم</t>
        </is>
      </c>
      <c r="V40" s="31" t="inlineStr">
        <is>
          <t>بعد JSON</t>
        </is>
      </c>
      <c r="W40" s="31" t="inlineStr">
        <is>
          <t>NE-11</t>
        </is>
      </c>
      <c r="X40" s="43">
        <f>IF(W40="","—",IFERROR(IF(INDEX(BackendChecklist!$H$5:$H$30,MATCH(W40,BackendChecklist!$A$5:$A$30,0))="نعم","جاهز للبدء",IF(V40="الآن (بنمط seam)","يبدأ بنمط seam — الربط ينتظر","ينتظر الباك اند")),"؟"))</f>
        <v/>
      </c>
    </row>
    <row r="41" ht="42" customHeight="1" s="26">
      <c r="A41" s="41" t="inlineStr">
        <is>
          <t>T3-04</t>
        </is>
      </c>
      <c r="B41" s="31" t="inlineStr">
        <is>
          <t>WP-T3</t>
        </is>
      </c>
      <c r="C41" s="43">
        <f>IFERROR(INDEX(WorkPackages!$C$5:$C$40,MATCH(B41,WorkPackages!$A$5:$A$40,0)),"")</f>
        <v/>
      </c>
      <c r="D41" s="31" t="inlineStr">
        <is>
          <t>FR-I03</t>
        </is>
      </c>
      <c r="E41" s="31" t="inlineStr">
        <is>
          <t>UI</t>
        </is>
      </c>
      <c r="F41" s="31" t="inlineStr">
        <is>
          <t>اختيار المجموعة (إن تعدّدت)</t>
        </is>
      </c>
      <c r="G41" s="31" t="inlineStr">
        <is>
          <t>لو الكورس فيه أكثر من مجموعة (Q-02) → قائمة اختيار؛ وإلا تُستخدم الوحيدة تلقائيًا.</t>
        </is>
      </c>
      <c r="H41" s="31" t="inlineStr">
        <is>
          <t>components/teacher/group-students-tab.tsx</t>
        </is>
      </c>
      <c r="I41" s="31" t="inlineStr">
        <is>
          <t>—</t>
        </is>
      </c>
      <c r="J41" s="31" t="inlineStr">
        <is>
          <t>T3-01</t>
        </is>
      </c>
      <c r="K41" s="31" t="inlineStr">
        <is>
          <t>P1</t>
        </is>
      </c>
      <c r="L41" s="31" t="inlineStr">
        <is>
          <t>S</t>
        </is>
      </c>
      <c r="M41" s="30" t="inlineStr">
        <is>
          <t>لم يبدأ</t>
        </is>
      </c>
      <c r="N41" s="30" t="n"/>
      <c r="O41" s="30" t="n"/>
      <c r="P41" s="43">
        <f>IFERROR(INDEX(WorkPackages!$H$5:$H$40,MATCH(B41,WorkPackages!$A$5:$A$40,0)),"")</f>
        <v/>
      </c>
      <c r="Q41" s="42" t="n"/>
      <c r="R41" s="42" t="n"/>
      <c r="S41" s="30" t="inlineStr">
        <is>
          <t>لا</t>
        </is>
      </c>
      <c r="T41" s="30" t="n"/>
      <c r="U41" s="31" t="inlineStr">
        <is>
          <t>نعم</t>
        </is>
      </c>
      <c r="V41" s="31" t="inlineStr">
        <is>
          <t>بعد JSON</t>
        </is>
      </c>
      <c r="W41" s="31" t="inlineStr">
        <is>
          <t>NE-11</t>
        </is>
      </c>
      <c r="X41" s="43">
        <f>IF(W41="","—",IFERROR(IF(INDEX(BackendChecklist!$H$5:$H$30,MATCH(W41,BackendChecklist!$A$5:$A$30,0))="نعم","جاهز للبدء",IF(V41="الآن (بنمط seam)","يبدأ بنمط seam — الربط ينتظر","ينتظر الباك اند")),"؟"))</f>
        <v/>
      </c>
    </row>
    <row r="42" ht="42" customHeight="1" s="26">
      <c r="A42" s="41" t="inlineStr">
        <is>
          <t>T4-01</t>
        </is>
      </c>
      <c r="B42" s="31" t="inlineStr">
        <is>
          <t>WP-T4</t>
        </is>
      </c>
      <c r="C42" s="43">
        <f>IFERROR(INDEX(WorkPackages!$C$5:$C$40,MATCH(B42,WorkPackages!$A$5:$A$40,0)),"")</f>
        <v/>
      </c>
      <c r="D42" s="31" t="inlineStr">
        <is>
          <t>FR-I09</t>
        </is>
      </c>
      <c r="E42" s="31" t="inlineStr">
        <is>
          <t>UI</t>
        </is>
      </c>
      <c r="F42" s="31" t="inlineStr">
        <is>
          <t>قائمة الدروس (الجدول الزمني)</t>
        </is>
      </c>
      <c r="G42" s="31" t="inlineStr">
        <is>
          <t>GetSchedule(courseId, groupId): رقم، موضوع، تاريخ، يوم، وقت، مدة، حالة، + (قاعة | منصة+رابط). مرتبة زمنيًا؛ فلتر حالة/تاريخ؛ حالة فارغة.</t>
        </is>
      </c>
      <c r="H42" s="31" t="inlineStr">
        <is>
          <t>components/teacher/lessons-tab.tsx</t>
        </is>
      </c>
      <c r="I42" s="31" t="inlineStr">
        <is>
          <t>Lesson/GetSchedule</t>
        </is>
      </c>
      <c r="J42" s="31" t="inlineStr">
        <is>
          <t>WP-00</t>
        </is>
      </c>
      <c r="K42" s="31" t="inlineStr">
        <is>
          <t>P0</t>
        </is>
      </c>
      <c r="L42" s="31" t="inlineStr">
        <is>
          <t>M</t>
        </is>
      </c>
      <c r="M42" s="30" t="inlineStr">
        <is>
          <t>لم يبدأ</t>
        </is>
      </c>
      <c r="N42" s="30" t="n"/>
      <c r="O42" s="30" t="n"/>
      <c r="P42" s="43">
        <f>IFERROR(INDEX(WorkPackages!$H$5:$H$40,MATCH(B42,WorkPackages!$A$5:$A$40,0)),"")</f>
        <v/>
      </c>
      <c r="Q42" s="42" t="n"/>
      <c r="R42" s="42" t="n"/>
      <c r="S42" s="30" t="inlineStr">
        <is>
          <t>لا</t>
        </is>
      </c>
      <c r="T42" s="30" t="n"/>
      <c r="U42" s="31" t="inlineStr">
        <is>
          <t>نعم</t>
        </is>
      </c>
      <c r="V42" s="31" t="inlineStr">
        <is>
          <t>بعد JSON</t>
        </is>
      </c>
      <c r="W42" s="31" t="inlineStr">
        <is>
          <t>NE-12</t>
        </is>
      </c>
      <c r="X42" s="43">
        <f>IF(W42="","—",IFERROR(IF(INDEX(BackendChecklist!$H$5:$H$30,MATCH(W42,BackendChecklist!$A$5:$A$30,0))="نعم","جاهز للبدء",IF(V42="الآن (بنمط seam)","يبدأ بنمط seam — الربط ينتظر","ينتظر الباك اند")),"؟"))</f>
        <v/>
      </c>
    </row>
    <row r="43" ht="42" customHeight="1" s="26">
      <c r="A43" s="41" t="inlineStr">
        <is>
          <t>T4-02</t>
        </is>
      </c>
      <c r="B43" s="31" t="inlineStr">
        <is>
          <t>WP-T4</t>
        </is>
      </c>
      <c r="C43" s="43">
        <f>IFERROR(INDEX(WorkPackages!$C$5:$C$40,MATCH(B43,WorkPackages!$A$5:$A$40,0)),"")</f>
        <v/>
      </c>
      <c r="D43" s="31" t="inlineStr">
        <is>
          <t>FR-I04</t>
        </is>
      </c>
      <c r="E43" s="31" t="inlineStr">
        <is>
          <t>UI</t>
        </is>
      </c>
      <c r="F43" s="31" t="inlineStr">
        <is>
          <t>نموذج درس حضوري</t>
        </is>
      </c>
      <c r="G43" s="31" t="inlineStr">
        <is>
          <t>رقم الدرس (orderIndex)، الموضوع، التاريخ، وقت البدء، المدة، القاعة (اختياري). اليوم يُشتق من التاريخ ويُعرض. → Lesson/Create.</t>
        </is>
      </c>
      <c r="H43" s="31" t="inlineStr">
        <is>
          <t>components/teacher/lesson-form-dialog.tsx</t>
        </is>
      </c>
      <c r="I43" s="31" t="inlineStr">
        <is>
          <t>Lesson/Create</t>
        </is>
      </c>
      <c r="J43" s="31" t="inlineStr">
        <is>
          <t>T4-01</t>
        </is>
      </c>
      <c r="K43" s="31" t="inlineStr">
        <is>
          <t>P0</t>
        </is>
      </c>
      <c r="L43" s="31" t="inlineStr">
        <is>
          <t>M</t>
        </is>
      </c>
      <c r="M43" s="30" t="inlineStr">
        <is>
          <t>قيد المراجعة</t>
        </is>
      </c>
      <c r="N43" s="30" t="inlineStr">
        <is>
          <t>المستخدم</t>
        </is>
      </c>
      <c r="O43" s="30" t="inlineStr">
        <is>
          <t>A-user (منفّذ)</t>
        </is>
      </c>
      <c r="P43" s="43">
        <f>IFERROR(INDEX(WorkPackages!$H$5:$H$40,MATCH(B43,WorkPackages!$A$5:$A$40,0)),"")</f>
        <v/>
      </c>
      <c r="Q43" s="42" t="n"/>
      <c r="R43" s="42" t="n"/>
      <c r="S43" s="30" t="inlineStr">
        <is>
          <t>لا</t>
        </is>
      </c>
      <c r="T43" s="30" t="inlineStr">
        <is>
          <t>نفّذه المستخدم (wave1-half-claude-files.zip)؛ بانتظار validate</t>
        </is>
      </c>
      <c r="U43" s="31" t="inlineStr">
        <is>
          <t>لا</t>
        </is>
      </c>
      <c r="V43" s="31" t="inlineStr">
        <is>
          <t>منفّذ — قيد المراجعة</t>
        </is>
      </c>
      <c r="W43" s="31" t="n"/>
      <c r="X43" s="43">
        <f>IF(W43="","—",IFERROR(IF(INDEX(BackendChecklist!$H$5:$H$30,MATCH(W43,BackendChecklist!$A$5:$A$30,0))="نعم","جاهز للبدء",IF(V43="الآن (بنمط seam)","يبدأ بنمط seam — الربط ينتظر","ينتظر الباك اند")),"؟"))</f>
        <v/>
      </c>
    </row>
    <row r="44" ht="42" customHeight="1" s="26">
      <c r="A44" s="41" t="inlineStr">
        <is>
          <t>T4-03</t>
        </is>
      </c>
      <c r="B44" s="31" t="inlineStr">
        <is>
          <t>WP-T4</t>
        </is>
      </c>
      <c r="C44" s="43">
        <f>IFERROR(INDEX(WorkPackages!$C$5:$C$40,MATCH(B44,WorkPackages!$A$5:$A$40,0)),"")</f>
        <v/>
      </c>
      <c r="D44" s="31" t="inlineStr">
        <is>
          <t>FR-I08</t>
        </is>
      </c>
      <c r="E44" s="31" t="inlineStr">
        <is>
          <t>UI</t>
        </is>
      </c>
      <c r="F44" s="31" t="inlineStr">
        <is>
          <t>نموذج درس أونلاين</t>
        </is>
      </c>
      <c r="G44" s="31" t="inlineStr">
        <is>
          <t>نفس الحقول + المنصة (Zoom/Meet/Teams/أخرى) + الرابط (http/https فقط) + تعليمات اختيارية. → Lesson/Create.</t>
        </is>
      </c>
      <c r="H44" s="31" t="inlineStr">
        <is>
          <t>components/teacher/lesson-form-dialog.tsx</t>
        </is>
      </c>
      <c r="I44" s="31" t="inlineStr">
        <is>
          <t>Lesson/Create</t>
        </is>
      </c>
      <c r="J44" s="31" t="inlineStr">
        <is>
          <t>T4-02</t>
        </is>
      </c>
      <c r="K44" s="31" t="inlineStr">
        <is>
          <t>P0</t>
        </is>
      </c>
      <c r="L44" s="31" t="inlineStr">
        <is>
          <t>M</t>
        </is>
      </c>
      <c r="M44" s="30" t="inlineStr">
        <is>
          <t>قيد المراجعة</t>
        </is>
      </c>
      <c r="N44" s="30" t="inlineStr">
        <is>
          <t>المستخدم</t>
        </is>
      </c>
      <c r="O44" s="30" t="inlineStr">
        <is>
          <t>A-user (منفّذ)</t>
        </is>
      </c>
      <c r="P44" s="43">
        <f>IFERROR(INDEX(WorkPackages!$H$5:$H$40,MATCH(B44,WorkPackages!$A$5:$A$40,0)),"")</f>
        <v/>
      </c>
      <c r="Q44" s="42" t="n"/>
      <c r="R44" s="42" t="n"/>
      <c r="S44" s="30" t="inlineStr">
        <is>
          <t>لا</t>
        </is>
      </c>
      <c r="T44" s="30" t="inlineStr">
        <is>
          <t>نفّذه المستخدم (wave1-half-claude-files.zip)؛ بانتظار validate</t>
        </is>
      </c>
      <c r="U44" s="31" t="inlineStr">
        <is>
          <t>لا</t>
        </is>
      </c>
      <c r="V44" s="31" t="inlineStr">
        <is>
          <t>منفّذ — قيد المراجعة</t>
        </is>
      </c>
      <c r="W44" s="31" t="n"/>
      <c r="X44" s="43">
        <f>IF(W44="","—",IFERROR(IF(INDEX(BackendChecklist!$H$5:$H$30,MATCH(W44,BackendChecklist!$A$5:$A$30,0))="نعم","جاهز للبدء",IF(V44="الآن (بنمط seam)","يبدأ بنمط seam — الربط ينتظر","ينتظر الباك اند")),"؟"))</f>
        <v/>
      </c>
    </row>
    <row r="45" ht="42" customHeight="1" s="26">
      <c r="A45" s="41" t="inlineStr">
        <is>
          <t>T4-04</t>
        </is>
      </c>
      <c r="B45" s="31" t="inlineStr">
        <is>
          <t>WP-T4</t>
        </is>
      </c>
      <c r="C45" s="43">
        <f>IFERROR(INDEX(WorkPackages!$C$5:$C$40,MATCH(B45,WorkPackages!$A$5:$A$40,0)),"")</f>
        <v/>
      </c>
      <c r="D45" s="31" t="inlineStr">
        <is>
          <t>FR-I10</t>
        </is>
      </c>
      <c r="E45" s="31" t="inlineStr">
        <is>
          <t>UI</t>
        </is>
      </c>
      <c r="F45" s="31" t="inlineStr">
        <is>
          <t>تعديل درس مجدول</t>
        </is>
      </c>
      <c r="G45" s="31" t="inlineStr">
        <is>
          <t>متاح فقط لدرس لم يبدأ وغير ملغى. → Lesson/Update.</t>
        </is>
      </c>
      <c r="H45" s="31" t="inlineStr">
        <is>
          <t>components/teacher/lesson-form-dialog.tsx</t>
        </is>
      </c>
      <c r="I45" s="31" t="inlineStr">
        <is>
          <t>Lesson/Update</t>
        </is>
      </c>
      <c r="J45" s="31" t="inlineStr">
        <is>
          <t>T4-02</t>
        </is>
      </c>
      <c r="K45" s="31" t="inlineStr">
        <is>
          <t>P1</t>
        </is>
      </c>
      <c r="L45" s="31" t="inlineStr">
        <is>
          <t>S</t>
        </is>
      </c>
      <c r="M45" s="30" t="inlineStr">
        <is>
          <t>قيد المراجعة</t>
        </is>
      </c>
      <c r="N45" s="30" t="inlineStr">
        <is>
          <t>المستخدم</t>
        </is>
      </c>
      <c r="O45" s="30" t="inlineStr">
        <is>
          <t>A-user (منفّذ)</t>
        </is>
      </c>
      <c r="P45" s="43">
        <f>IFERROR(INDEX(WorkPackages!$H$5:$H$40,MATCH(B45,WorkPackages!$A$5:$A$40,0)),"")</f>
        <v/>
      </c>
      <c r="Q45" s="42" t="n"/>
      <c r="R45" s="42" t="n"/>
      <c r="S45" s="30" t="inlineStr">
        <is>
          <t>لا</t>
        </is>
      </c>
      <c r="T45" s="30" t="inlineStr">
        <is>
          <t>نفّذه المستخدم (wave1-half-claude-files.zip)؛ بانتظار validate</t>
        </is>
      </c>
      <c r="U45" s="31" t="inlineStr">
        <is>
          <t>لا</t>
        </is>
      </c>
      <c r="V45" s="31" t="inlineStr">
        <is>
          <t>منفّذ — قيد المراجعة</t>
        </is>
      </c>
      <c r="W45" s="31" t="n"/>
      <c r="X45" s="43">
        <f>IF(W45="","—",IFERROR(IF(INDEX(BackendChecklist!$H$5:$H$30,MATCH(W45,BackendChecklist!$A$5:$A$30,0))="نعم","جاهز للبدء",IF(V45="الآن (بنمط seam)","يبدأ بنمط seam — الربط ينتظر","ينتظر الباك اند")),"؟"))</f>
        <v/>
      </c>
    </row>
    <row r="46" ht="42" customHeight="1" s="26">
      <c r="A46" s="41" t="inlineStr">
        <is>
          <t>T4-05</t>
        </is>
      </c>
      <c r="B46" s="31" t="inlineStr">
        <is>
          <t>WP-T4</t>
        </is>
      </c>
      <c r="C46" s="43">
        <f>IFERROR(INDEX(WorkPackages!$C$5:$C$40,MATCH(B46,WorkPackages!$A$5:$A$40,0)),"")</f>
        <v/>
      </c>
      <c r="D46" s="31" t="inlineStr">
        <is>
          <t>FR-I07</t>
        </is>
      </c>
      <c r="E46" s="31" t="inlineStr">
        <is>
          <t>UI</t>
        </is>
      </c>
      <c r="F46" s="31" t="inlineStr">
        <is>
          <t>تعديل بيانات الاجتماع فقط</t>
        </is>
      </c>
      <c r="G46" s="31" t="inlineStr">
        <is>
          <t>إجراء سريع لدرس أونلاين: منصة/رابط/تعليمات. → Lesson/ConfigureMeeting. التحقق من الرابط.</t>
        </is>
      </c>
      <c r="H46" s="31" t="inlineStr">
        <is>
          <t>components/teacher/lessons-tab.tsx</t>
        </is>
      </c>
      <c r="I46" s="31" t="inlineStr">
        <is>
          <t>Lesson/ConfigureMeeting</t>
        </is>
      </c>
      <c r="J46" s="31" t="inlineStr">
        <is>
          <t>T4-03</t>
        </is>
      </c>
      <c r="K46" s="31" t="inlineStr">
        <is>
          <t>P1</t>
        </is>
      </c>
      <c r="L46" s="31" t="inlineStr">
        <is>
          <t>S</t>
        </is>
      </c>
      <c r="M46" s="30" t="inlineStr">
        <is>
          <t>لم يبدأ</t>
        </is>
      </c>
      <c r="N46" s="30" t="n"/>
      <c r="O46" s="30" t="inlineStr">
        <is>
          <t>مرشّح للبدء الآن</t>
        </is>
      </c>
      <c r="P46" s="43">
        <f>IFERROR(INDEX(WorkPackages!$H$5:$H$40,MATCH(B46,WorkPackages!$A$5:$A$40,0)),"")</f>
        <v/>
      </c>
      <c r="Q46" s="42" t="n"/>
      <c r="R46" s="42" t="n"/>
      <c r="S46" s="30" t="inlineStr">
        <is>
          <t>لا</t>
        </is>
      </c>
      <c r="T46" s="30" t="n"/>
      <c r="U46" s="31" t="inlineStr">
        <is>
          <t>جزئي</t>
        </is>
      </c>
      <c r="V46" s="31" t="inlineStr">
        <is>
          <t>الآن (بنمط seam)</t>
        </is>
      </c>
      <c r="W46" s="31" t="inlineStr">
        <is>
          <t>NE-12</t>
        </is>
      </c>
      <c r="X46" s="43">
        <f>IF(W46="","—",IFERROR(IF(INDEX(BackendChecklist!$H$5:$H$30,MATCH(W46,BackendChecklist!$A$5:$A$30,0))="نعم","جاهز للبدء",IF(V46="الآن (بنمط seam)","يبدأ بنمط seam — الربط ينتظر","ينتظر الباك اند")),"؟"))</f>
        <v/>
      </c>
    </row>
    <row r="47" ht="42" customHeight="1" s="26">
      <c r="A47" s="41" t="inlineStr">
        <is>
          <t>T4-06</t>
        </is>
      </c>
      <c r="B47" s="31" t="inlineStr">
        <is>
          <t>WP-T4</t>
        </is>
      </c>
      <c r="C47" s="43">
        <f>IFERROR(INDEX(WorkPackages!$C$5:$C$40,MATCH(B47,WorkPackages!$A$5:$A$40,0)),"")</f>
        <v/>
      </c>
      <c r="D47" s="31" t="inlineStr">
        <is>
          <t>FR-I11</t>
        </is>
      </c>
      <c r="E47" s="31" t="inlineStr">
        <is>
          <t>UI</t>
        </is>
      </c>
      <c r="F47" s="31" t="inlineStr">
        <is>
          <t>إلغاء درس بسبب</t>
        </is>
      </c>
      <c r="G47" s="31" t="inlineStr">
        <is>
          <t>نافذة تأكيد + سبب اختياري. يبقى الدرس بالسجل بحالة ملغى. → Lesson/Cancel.</t>
        </is>
      </c>
      <c r="H47" s="31" t="inlineStr">
        <is>
          <t>components/teacher/lesson-cancel-dialog.tsx</t>
        </is>
      </c>
      <c r="I47" s="31" t="inlineStr">
        <is>
          <t>Lesson/Cancel</t>
        </is>
      </c>
      <c r="J47" s="31" t="inlineStr">
        <is>
          <t>T4-01</t>
        </is>
      </c>
      <c r="K47" s="31" t="inlineStr">
        <is>
          <t>P1</t>
        </is>
      </c>
      <c r="L47" s="31" t="inlineStr">
        <is>
          <t>S</t>
        </is>
      </c>
      <c r="M47" s="30" t="inlineStr">
        <is>
          <t>قيد المراجعة</t>
        </is>
      </c>
      <c r="N47" s="30" t="inlineStr">
        <is>
          <t>المستخدم</t>
        </is>
      </c>
      <c r="O47" s="30" t="inlineStr">
        <is>
          <t>A-user (منفّذ)</t>
        </is>
      </c>
      <c r="P47" s="43">
        <f>IFERROR(INDEX(WorkPackages!$H$5:$H$40,MATCH(B47,WorkPackages!$A$5:$A$40,0)),"")</f>
        <v/>
      </c>
      <c r="Q47" s="42" t="n"/>
      <c r="R47" s="42" t="n"/>
      <c r="S47" s="30" t="inlineStr">
        <is>
          <t>لا</t>
        </is>
      </c>
      <c r="T47" s="30" t="inlineStr">
        <is>
          <t>نفّذه المستخدم (wave1-half-claude-files.zip)؛ بانتظار validate</t>
        </is>
      </c>
      <c r="U47" s="31" t="inlineStr">
        <is>
          <t>لا</t>
        </is>
      </c>
      <c r="V47" s="31" t="inlineStr">
        <is>
          <t>منفّذ — قيد المراجعة</t>
        </is>
      </c>
      <c r="W47" s="31" t="n"/>
      <c r="X47" s="43">
        <f>IF(W47="","—",IFERROR(IF(INDEX(BackendChecklist!$H$5:$H$30,MATCH(W47,BackendChecklist!$A$5:$A$30,0))="نعم","جاهز للبدء",IF(V47="الآن (بنمط seam)","يبدأ بنمط seam — الربط ينتظر","ينتظر الباك اند")),"؟"))</f>
        <v/>
      </c>
    </row>
    <row r="48" ht="42" customHeight="1" s="26">
      <c r="A48" s="41" t="inlineStr">
        <is>
          <t>T4-07</t>
        </is>
      </c>
      <c r="B48" s="31" t="inlineStr">
        <is>
          <t>WP-T4</t>
        </is>
      </c>
      <c r="C48" s="43">
        <f>IFERROR(INDEX(WorkPackages!$C$5:$C$40,MATCH(B48,WorkPackages!$A$5:$A$40,0)),"")</f>
        <v/>
      </c>
      <c r="D48" s="31" t="inlineStr">
        <is>
          <t>FR-I04</t>
        </is>
      </c>
      <c r="E48" s="31" t="inlineStr">
        <is>
          <t>UI</t>
        </is>
      </c>
      <c r="F48" s="31" t="inlineStr">
        <is>
          <t>عرض أخطاء التعارض/التحقق</t>
        </is>
      </c>
      <c r="G48" s="31" t="inlineStr">
        <is>
          <t>رسائل الباك اند (تعارض درس، تاريخ/وقت غير صالح) تظهر داخل النموذج وتمنع الحفظ.</t>
        </is>
      </c>
      <c r="H48" s="31" t="inlineStr">
        <is>
          <t>components/teacher/lesson-form-dialog.tsx</t>
        </is>
      </c>
      <c r="I48" s="31" t="inlineStr">
        <is>
          <t>—</t>
        </is>
      </c>
      <c r="J48" s="31" t="inlineStr">
        <is>
          <t>T4-02</t>
        </is>
      </c>
      <c r="K48" s="31" t="inlineStr">
        <is>
          <t>P0</t>
        </is>
      </c>
      <c r="L48" s="31" t="inlineStr">
        <is>
          <t>S</t>
        </is>
      </c>
      <c r="M48" s="30" t="inlineStr">
        <is>
          <t>قيد المراجعة</t>
        </is>
      </c>
      <c r="N48" s="30" t="inlineStr">
        <is>
          <t>المستخدم</t>
        </is>
      </c>
      <c r="O48" s="30" t="inlineStr">
        <is>
          <t>A-user (منفّذ)</t>
        </is>
      </c>
      <c r="P48" s="43">
        <f>IFERROR(INDEX(WorkPackages!$H$5:$H$40,MATCH(B48,WorkPackages!$A$5:$A$40,0)),"")</f>
        <v/>
      </c>
      <c r="Q48" s="42" t="n"/>
      <c r="R48" s="42" t="n"/>
      <c r="S48" s="30" t="inlineStr">
        <is>
          <t>لا</t>
        </is>
      </c>
      <c r="T48" s="30" t="inlineStr">
        <is>
          <t>نفّذه المستخدم (wave1-half-claude-files.zip)؛ بانتظار validate</t>
        </is>
      </c>
      <c r="U48" s="31" t="inlineStr">
        <is>
          <t>لا</t>
        </is>
      </c>
      <c r="V48" s="31" t="inlineStr">
        <is>
          <t>منفّذ — قيد المراجعة</t>
        </is>
      </c>
      <c r="W48" s="31" t="n"/>
      <c r="X48" s="43">
        <f>IF(W48="","—",IFERROR(IF(INDEX(BackendChecklist!$H$5:$H$30,MATCH(W48,BackendChecklist!$A$5:$A$30,0))="نعم","جاهز للبدء",IF(V48="الآن (بنمط seam)","يبدأ بنمط seam — الربط ينتظر","ينتظر الباك اند")),"؟"))</f>
        <v/>
      </c>
    </row>
    <row r="49" ht="42" customHeight="1" s="26">
      <c r="A49" s="41" t="inlineStr">
        <is>
          <t>T4-08</t>
        </is>
      </c>
      <c r="B49" s="31" t="inlineStr">
        <is>
          <t>WP-T4</t>
        </is>
      </c>
      <c r="C49" s="43">
        <f>IFERROR(INDEX(WorkPackages!$C$5:$C$40,MATCH(B49,WorkPackages!$A$5:$A$40,0)),"")</f>
        <v/>
      </c>
      <c r="D49" s="31" t="inlineStr">
        <is>
          <t>FR-I08</t>
        </is>
      </c>
      <c r="E49" s="31" t="inlineStr">
        <is>
          <t>Test</t>
        </is>
      </c>
      <c r="F49" s="31" t="inlineStr">
        <is>
          <t>اختبارات محققات الدرس/الرابط</t>
        </is>
      </c>
      <c r="G49" s="31" t="inlineStr">
        <is>
          <t>isHttpUrl، اشتقاق اليوم، حدود المدة.</t>
        </is>
      </c>
      <c r="H49" s="31" t="inlineStr">
        <is>
          <t>components/teacher/lesson-form-dialog.test.ts</t>
        </is>
      </c>
      <c r="I49" s="31" t="inlineStr">
        <is>
          <t>—</t>
        </is>
      </c>
      <c r="J49" s="31" t="inlineStr">
        <is>
          <t>T4-03</t>
        </is>
      </c>
      <c r="K49" s="31" t="inlineStr">
        <is>
          <t>P1</t>
        </is>
      </c>
      <c r="L49" s="31" t="inlineStr">
        <is>
          <t>S</t>
        </is>
      </c>
      <c r="M49" s="30" t="inlineStr">
        <is>
          <t>قيد المراجعة</t>
        </is>
      </c>
      <c r="N49" s="30" t="inlineStr">
        <is>
          <t>المستخدم</t>
        </is>
      </c>
      <c r="O49" s="30" t="inlineStr">
        <is>
          <t>A-user (منفّذ)</t>
        </is>
      </c>
      <c r="P49" s="43">
        <f>IFERROR(INDEX(WorkPackages!$H$5:$H$40,MATCH(B49,WorkPackages!$A$5:$A$40,0)),"")</f>
        <v/>
      </c>
      <c r="Q49" s="42" t="n"/>
      <c r="R49" s="42" t="n"/>
      <c r="S49" s="30" t="inlineStr">
        <is>
          <t>لا</t>
        </is>
      </c>
      <c r="T49" s="30" t="inlineStr">
        <is>
          <t>نفّذه المستخدم (wave1-half-claude-files.zip)؛ بانتظار validate</t>
        </is>
      </c>
      <c r="U49" s="31" t="inlineStr">
        <is>
          <t>لا</t>
        </is>
      </c>
      <c r="V49" s="31" t="inlineStr">
        <is>
          <t>منفّذ — قيد المراجعة</t>
        </is>
      </c>
      <c r="W49" s="31" t="n"/>
      <c r="X49" s="43">
        <f>IF(W49="","—",IFERROR(IF(INDEX(BackendChecklist!$H$5:$H$30,MATCH(W49,BackendChecklist!$A$5:$A$30,0))="نعم","جاهز للبدء",IF(V49="الآن (بنمط seam)","يبدأ بنمط seam — الربط ينتظر","ينتظر الباك اند")),"؟"))</f>
        <v/>
      </c>
    </row>
    <row r="50" ht="42" customHeight="1" s="26">
      <c r="A50" s="41" t="inlineStr">
        <is>
          <t>T5-01</t>
        </is>
      </c>
      <c r="B50" s="31" t="inlineStr">
        <is>
          <t>WP-T5</t>
        </is>
      </c>
      <c r="C50" s="43">
        <f>IFERROR(INDEX(WorkPackages!$C$5:$C$40,MATCH(B50,WorkPackages!$A$5:$A$40,0)),"")</f>
        <v/>
      </c>
      <c r="D50" s="31" t="inlineStr">
        <is>
          <t>FR-T10</t>
        </is>
      </c>
      <c r="E50" s="31" t="inlineStr">
        <is>
          <t>UI</t>
        </is>
      </c>
      <c r="F50" s="31" t="inlineStr">
        <is>
          <t>قائمة طلبات الحجز (معلم)</t>
        </is>
      </c>
      <c r="G50" s="31" t="inlineStr">
        <is>
          <t>TeacherBookings مع فلتر حالة (معلّق/مؤكد/مكتمل/مرفوض/ملغى) + بيانات الطالب والجلسة والوضع والرسوم.</t>
        </is>
      </c>
      <c r="H50" s="31" t="inlineStr">
        <is>
          <t>routes/_authenticated/teacher.bookings.tsx</t>
        </is>
      </c>
      <c r="I50" s="31" t="inlineStr">
        <is>
          <t>Booking/TeacherBookings</t>
        </is>
      </c>
      <c r="J50" s="31" t="inlineStr">
        <is>
          <t>WP-00</t>
        </is>
      </c>
      <c r="K50" s="31" t="inlineStr">
        <is>
          <t>P0</t>
        </is>
      </c>
      <c r="L50" s="31" t="inlineStr">
        <is>
          <t>M</t>
        </is>
      </c>
      <c r="M50" s="30" t="inlineStr">
        <is>
          <t>لم يبدأ</t>
        </is>
      </c>
      <c r="N50" s="30" t="n"/>
      <c r="O50" s="30" t="n"/>
      <c r="P50" s="43">
        <f>IFERROR(INDEX(WorkPackages!$H$5:$H$40,MATCH(B50,WorkPackages!$A$5:$A$40,0)),"")</f>
        <v/>
      </c>
      <c r="Q50" s="42" t="n"/>
      <c r="R50" s="42" t="n"/>
      <c r="S50" s="30" t="inlineStr">
        <is>
          <t>لا</t>
        </is>
      </c>
      <c r="T50" s="30" t="n"/>
      <c r="U50" s="31" t="inlineStr">
        <is>
          <t>نعم</t>
        </is>
      </c>
      <c r="V50" s="31" t="inlineStr">
        <is>
          <t>بعد JSON</t>
        </is>
      </c>
      <c r="W50" s="31" t="inlineStr">
        <is>
          <t>NE-01</t>
        </is>
      </c>
      <c r="X50" s="43">
        <f>IF(W50="","—",IFERROR(IF(INDEX(BackendChecklist!$H$5:$H$30,MATCH(W50,BackendChecklist!$A$5:$A$30,0))="نعم","جاهز للبدء",IF(V50="الآن (بنمط seam)","يبدأ بنمط seam — الربط ينتظر","ينتظر الباك اند")),"؟"))</f>
        <v/>
      </c>
    </row>
    <row r="51" ht="42" customHeight="1" s="26">
      <c r="A51" s="41" t="inlineStr">
        <is>
          <t>T5-02</t>
        </is>
      </c>
      <c r="B51" s="31" t="inlineStr">
        <is>
          <t>WP-T5</t>
        </is>
      </c>
      <c r="C51" s="43">
        <f>IFERROR(INDEX(WorkPackages!$C$5:$C$40,MATCH(B51,WorkPackages!$A$5:$A$40,0)),"")</f>
        <v/>
      </c>
      <c r="D51" s="31" t="inlineStr">
        <is>
          <t>FR-T06</t>
        </is>
      </c>
      <c r="E51" s="31" t="inlineStr">
        <is>
          <t>UI</t>
        </is>
      </c>
      <c r="F51" s="31" t="inlineStr">
        <is>
          <t>قبول/رفض الطلب</t>
        </is>
      </c>
      <c r="G51" s="31" t="inlineStr">
        <is>
          <t>Decide {bookingId, accept, rejectionReason}. السبب مطلوب عند الرفض. إظهار رسالة الباك اند عند فشل الخصم (رصيد الطالب غير كافٍ).</t>
        </is>
      </c>
      <c r="H51" s="31" t="inlineStr">
        <is>
          <t>routes/_authenticated/teacher.bookings.tsx</t>
        </is>
      </c>
      <c r="I51" s="31" t="inlineStr">
        <is>
          <t>Booking/Decide</t>
        </is>
      </c>
      <c r="J51" s="31" t="inlineStr">
        <is>
          <t>T5-01</t>
        </is>
      </c>
      <c r="K51" s="31" t="inlineStr">
        <is>
          <t>P0</t>
        </is>
      </c>
      <c r="L51" s="31" t="inlineStr">
        <is>
          <t>M</t>
        </is>
      </c>
      <c r="M51" s="30" t="inlineStr">
        <is>
          <t>لم يبدأ</t>
        </is>
      </c>
      <c r="N51" s="30" t="n"/>
      <c r="O51" s="30" t="inlineStr">
        <is>
          <t>مرشّح للبدء الآن</t>
        </is>
      </c>
      <c r="P51" s="43">
        <f>IFERROR(INDEX(WorkPackages!$H$5:$H$40,MATCH(B51,WorkPackages!$A$5:$A$40,0)),"")</f>
        <v/>
      </c>
      <c r="Q51" s="42" t="n"/>
      <c r="R51" s="42" t="n"/>
      <c r="S51" s="30" t="inlineStr">
        <is>
          <t>لا</t>
        </is>
      </c>
      <c r="T51" s="30" t="n"/>
      <c r="U51" s="31" t="inlineStr">
        <is>
          <t>جزئي</t>
        </is>
      </c>
      <c r="V51" s="31" t="inlineStr">
        <is>
          <t>الآن (بنمط seam)</t>
        </is>
      </c>
      <c r="W51" s="31" t="inlineStr">
        <is>
          <t>NE-01</t>
        </is>
      </c>
      <c r="X51" s="43">
        <f>IF(W51="","—",IFERROR(IF(INDEX(BackendChecklist!$H$5:$H$30,MATCH(W51,BackendChecklist!$A$5:$A$30,0))="نعم","جاهز للبدء",IF(V51="الآن (بنمط seam)","يبدأ بنمط seam — الربط ينتظر","ينتظر الباك اند")),"؟"))</f>
        <v/>
      </c>
    </row>
    <row r="52" ht="42" customHeight="1" s="26">
      <c r="A52" s="41" t="inlineStr">
        <is>
          <t>T5-03</t>
        </is>
      </c>
      <c r="B52" s="31" t="inlineStr">
        <is>
          <t>WP-T5</t>
        </is>
      </c>
      <c r="C52" s="43">
        <f>IFERROR(INDEX(WorkPackages!$C$5:$C$40,MATCH(B52,WorkPackages!$A$5:$A$40,0)),"")</f>
        <v/>
      </c>
      <c r="D52" s="31" t="inlineStr">
        <is>
          <t>FR-T10</t>
        </is>
      </c>
      <c r="E52" s="31" t="inlineStr">
        <is>
          <t>UI</t>
        </is>
      </c>
      <c r="F52" s="31" t="inlineStr">
        <is>
          <t>إنهاء حصة مؤكّدة</t>
        </is>
      </c>
      <c r="G52" s="31" t="inlineStr">
        <is>
          <t>Complete للحجز المؤكد (Confirmed → Completed) مع تأكيد.</t>
        </is>
      </c>
      <c r="H52" s="31" t="inlineStr">
        <is>
          <t>routes/_authenticated/teacher.bookings.tsx</t>
        </is>
      </c>
      <c r="I52" s="31" t="inlineStr">
        <is>
          <t>Booking/Complete</t>
        </is>
      </c>
      <c r="J52" s="31" t="inlineStr">
        <is>
          <t>T5-01</t>
        </is>
      </c>
      <c r="K52" s="31" t="inlineStr">
        <is>
          <t>P1</t>
        </is>
      </c>
      <c r="L52" s="31" t="inlineStr">
        <is>
          <t>S</t>
        </is>
      </c>
      <c r="M52" s="30" t="inlineStr">
        <is>
          <t>لم يبدأ</t>
        </is>
      </c>
      <c r="N52" s="30" t="n"/>
      <c r="O52" s="30" t="inlineStr">
        <is>
          <t>مرشّح للبدء الآن</t>
        </is>
      </c>
      <c r="P52" s="43">
        <f>IFERROR(INDEX(WorkPackages!$H$5:$H$40,MATCH(B52,WorkPackages!$A$5:$A$40,0)),"")</f>
        <v/>
      </c>
      <c r="Q52" s="42" t="n"/>
      <c r="R52" s="42" t="n"/>
      <c r="S52" s="30" t="inlineStr">
        <is>
          <t>لا</t>
        </is>
      </c>
      <c r="T52" s="30" t="n"/>
      <c r="U52" s="31" t="inlineStr">
        <is>
          <t>جزئي</t>
        </is>
      </c>
      <c r="V52" s="31" t="inlineStr">
        <is>
          <t>الآن (بنمط seam)</t>
        </is>
      </c>
      <c r="W52" s="31" t="inlineStr">
        <is>
          <t>NE-01</t>
        </is>
      </c>
      <c r="X52" s="43">
        <f>IF(W52="","—",IFERROR(IF(INDEX(BackendChecklist!$H$5:$H$30,MATCH(W52,BackendChecklist!$A$5:$A$30,0))="نعم","جاهز للبدء",IF(V52="الآن (بنمط seam)","يبدأ بنمط seam — الربط ينتظر","ينتظر الباك اند")),"؟"))</f>
        <v/>
      </c>
    </row>
    <row r="53" ht="42" customHeight="1" s="26">
      <c r="A53" s="41" t="inlineStr">
        <is>
          <t>T5-04</t>
        </is>
      </c>
      <c r="B53" s="31" t="inlineStr">
        <is>
          <t>WP-T5</t>
        </is>
      </c>
      <c r="C53" s="43">
        <f>IFERROR(INDEX(WorkPackages!$C$5:$C$40,MATCH(B53,WorkPackages!$A$5:$A$40,0)),"")</f>
        <v/>
      </c>
      <c r="D53" s="31" t="inlineStr">
        <is>
          <t>FR-S15</t>
        </is>
      </c>
      <c r="E53" s="31" t="inlineStr">
        <is>
          <t>UI</t>
        </is>
      </c>
      <c r="F53" s="31" t="inlineStr">
        <is>
          <t>طلبات إعادة الجدولة (جهة المعلم)</t>
        </is>
      </c>
      <c r="G53" s="31" t="inlineStr">
        <is>
          <t>TeacherRescheduleRequests + DecideReschedule {requestId, approve, rejectionReason}.</t>
        </is>
      </c>
      <c r="H53" s="31" t="inlineStr">
        <is>
          <t>routes/_authenticated/teacher.bookings.tsx</t>
        </is>
      </c>
      <c r="I53" s="31" t="inlineStr">
        <is>
          <t>Booking/TeacherRescheduleRequests, DecideReschedule</t>
        </is>
      </c>
      <c r="J53" s="31" t="inlineStr">
        <is>
          <t>T5-01</t>
        </is>
      </c>
      <c r="K53" s="31" t="inlineStr">
        <is>
          <t>P0</t>
        </is>
      </c>
      <c r="L53" s="31" t="inlineStr">
        <is>
          <t>M</t>
        </is>
      </c>
      <c r="M53" s="30" t="inlineStr">
        <is>
          <t>لم يبدأ</t>
        </is>
      </c>
      <c r="N53" s="30" t="n"/>
      <c r="O53" s="30" t="n"/>
      <c r="P53" s="43">
        <f>IFERROR(INDEX(WorkPackages!$H$5:$H$40,MATCH(B53,WorkPackages!$A$5:$A$40,0)),"")</f>
        <v/>
      </c>
      <c r="Q53" s="42" t="n"/>
      <c r="R53" s="42" t="n"/>
      <c r="S53" s="30" t="inlineStr">
        <is>
          <t>لا</t>
        </is>
      </c>
      <c r="T53" s="30" t="n"/>
      <c r="U53" s="31" t="inlineStr">
        <is>
          <t>نعم</t>
        </is>
      </c>
      <c r="V53" s="31" t="inlineStr">
        <is>
          <t>بعد JSON</t>
        </is>
      </c>
      <c r="W53" s="31" t="inlineStr">
        <is>
          <t>NE-01</t>
        </is>
      </c>
      <c r="X53" s="43">
        <f>IF(W53="","—",IFERROR(IF(INDEX(BackendChecklist!$H$5:$H$30,MATCH(W53,BackendChecklist!$A$5:$A$30,0))="نعم","جاهز للبدء",IF(V53="الآن (بنمط seam)","يبدأ بنمط seam — الربط ينتظر","ينتظر الباك اند")),"؟"))</f>
        <v/>
      </c>
    </row>
    <row r="54" ht="42" customHeight="1" s="26">
      <c r="A54" s="41" t="inlineStr">
        <is>
          <t>T5-05</t>
        </is>
      </c>
      <c r="B54" s="31" t="inlineStr">
        <is>
          <t>WP-T5</t>
        </is>
      </c>
      <c r="C54" s="43">
        <f>IFERROR(INDEX(WorkPackages!$C$5:$C$40,MATCH(B54,WorkPackages!$A$5:$A$40,0)),"")</f>
        <v/>
      </c>
      <c r="D54" s="31" t="inlineStr">
        <is>
          <t>FR-T10</t>
        </is>
      </c>
      <c r="E54" s="31" t="inlineStr">
        <is>
          <t>UI</t>
        </is>
      </c>
      <c r="F54" s="31" t="inlineStr">
        <is>
          <t>لوحة المعلم: استبدال اللوحة المعطّلة</t>
        </is>
      </c>
      <c r="G54" s="31" t="inlineStr">
        <is>
          <t>حذف نص «معطّل بقصد P0-1/P1-1» (قديم) وعرض عدد الطلبات المعلقة + رابط /teacher/bookings. لا تعرض أي رقم مخترع.</t>
        </is>
      </c>
      <c r="H54" s="31" t="inlineStr">
        <is>
          <t>routes/_authenticated/teacher.dashboard.tsx</t>
        </is>
      </c>
      <c r="I54" s="31" t="inlineStr">
        <is>
          <t>Booking/TeacherBookings</t>
        </is>
      </c>
      <c r="J54" s="31" t="inlineStr">
        <is>
          <t>T5-01</t>
        </is>
      </c>
      <c r="K54" s="31" t="inlineStr">
        <is>
          <t>P1</t>
        </is>
      </c>
      <c r="L54" s="31" t="inlineStr">
        <is>
          <t>S</t>
        </is>
      </c>
      <c r="M54" s="30" t="inlineStr">
        <is>
          <t>قيد المراجعة</t>
        </is>
      </c>
      <c r="N54" s="30" t="inlineStr">
        <is>
          <t>المستخدم</t>
        </is>
      </c>
      <c r="O54" s="30" t="inlineStr">
        <is>
          <t>A-user (منفّذ)</t>
        </is>
      </c>
      <c r="P54" s="43">
        <f>IFERROR(INDEX(WorkPackages!$H$5:$H$40,MATCH(B54,WorkPackages!$A$5:$A$40,0)),"")</f>
        <v/>
      </c>
      <c r="Q54" s="42" t="n"/>
      <c r="R54" s="42" t="n"/>
      <c r="S54" s="30" t="inlineStr">
        <is>
          <t>لا</t>
        </is>
      </c>
      <c r="T54" s="30" t="inlineStr">
        <is>
          <t>نفّذه المستخدم (wave1-half-claude-files.zip)؛ بانتظار validate</t>
        </is>
      </c>
      <c r="U54" s="31" t="inlineStr">
        <is>
          <t>لا</t>
        </is>
      </c>
      <c r="V54" s="31" t="inlineStr">
        <is>
          <t>منفّذ — قيد المراجعة</t>
        </is>
      </c>
      <c r="W54" s="31" t="n"/>
      <c r="X54" s="43">
        <f>IF(W54="","—",IFERROR(IF(INDEX(BackendChecklist!$H$5:$H$30,MATCH(W54,BackendChecklist!$A$5:$A$30,0))="نعم","جاهز للبدء",IF(V54="الآن (بنمط seam)","يبدأ بنمط seam — الربط ينتظر","ينتظر الباك اند")),"؟"))</f>
        <v/>
      </c>
    </row>
    <row r="55" ht="42" customHeight="1" s="26">
      <c r="A55" s="41" t="inlineStr">
        <is>
          <t>T5-06</t>
        </is>
      </c>
      <c r="B55" s="31" t="inlineStr">
        <is>
          <t>WP-T5</t>
        </is>
      </c>
      <c r="C55" s="43">
        <f>IFERROR(INDEX(WorkPackages!$C$5:$C$40,MATCH(B55,WorkPackages!$A$5:$A$40,0)),"")</f>
        <v/>
      </c>
      <c r="D55" s="31" t="inlineStr">
        <is>
          <t>FR-T10</t>
        </is>
      </c>
      <c r="E55" s="31" t="inlineStr">
        <is>
          <t>Test</t>
        </is>
      </c>
      <c r="F55" s="31" t="inlineStr">
        <is>
          <t>حالات الفراغ والخطأ + اختبارات</t>
        </is>
      </c>
      <c r="G55" s="31" t="inlineStr">
        <is>
          <t>حالة فارغة لكل تبويب حالة، ErrorState، اختبار للمنطق النقي إن وُجد.</t>
        </is>
      </c>
      <c r="H55" s="31" t="inlineStr">
        <is>
          <t>routes/_authenticated/teacher.bookings.tsx</t>
        </is>
      </c>
      <c r="I55" s="31" t="inlineStr">
        <is>
          <t>—</t>
        </is>
      </c>
      <c r="J55" s="31" t="inlineStr">
        <is>
          <t>T5-01</t>
        </is>
      </c>
      <c r="K55" s="31" t="inlineStr">
        <is>
          <t>P1</t>
        </is>
      </c>
      <c r="L55" s="31" t="inlineStr">
        <is>
          <t>S</t>
        </is>
      </c>
      <c r="M55" s="30" t="inlineStr">
        <is>
          <t>لم يبدأ</t>
        </is>
      </c>
      <c r="N55" s="30" t="n"/>
      <c r="O55" s="30" t="n"/>
      <c r="P55" s="43">
        <f>IFERROR(INDEX(WorkPackages!$H$5:$H$40,MATCH(B55,WorkPackages!$A$5:$A$40,0)),"")</f>
        <v/>
      </c>
      <c r="Q55" s="42" t="n"/>
      <c r="R55" s="42" t="n"/>
      <c r="S55" s="30" t="inlineStr">
        <is>
          <t>لا</t>
        </is>
      </c>
      <c r="T55" s="30" t="n"/>
      <c r="U55" s="31" t="inlineStr">
        <is>
          <t>نعم</t>
        </is>
      </c>
      <c r="V55" s="31" t="inlineStr">
        <is>
          <t>بعد JSON</t>
        </is>
      </c>
      <c r="W55" s="31" t="inlineStr">
        <is>
          <t>NE-01</t>
        </is>
      </c>
      <c r="X55" s="43">
        <f>IF(W55="","—",IFERROR(IF(INDEX(BackendChecklist!$H$5:$H$30,MATCH(W55,BackendChecklist!$A$5:$A$30,0))="نعم","جاهز للبدء",IF(V55="الآن (بنمط seam)","يبدأ بنمط seam — الربط ينتظر","ينتظر الباك اند")),"؟"))</f>
        <v/>
      </c>
    </row>
    <row r="56" ht="42" customHeight="1" s="26">
      <c r="A56" s="41" t="inlineStr">
        <is>
          <t>S1-01</t>
        </is>
      </c>
      <c r="B56" s="31" t="inlineStr">
        <is>
          <t>WP-S1</t>
        </is>
      </c>
      <c r="C56" s="43">
        <f>IFERROR(INDEX(WorkPackages!$C$5:$C$40,MATCH(B56,WorkPackages!$A$5:$A$40,0)),"")</f>
        <v/>
      </c>
      <c r="D56" s="31" t="inlineStr">
        <is>
          <t>FR-T06</t>
        </is>
      </c>
      <c r="E56" s="31" t="inlineStr">
        <is>
          <t>UI</t>
        </is>
      </c>
      <c r="F56" s="31" t="inlineStr">
        <is>
          <t>تحميل بيانات المعلم والتوفّر</t>
        </is>
      </c>
      <c r="G56" s="31" t="inlineStr">
        <is>
          <t>استخدام getTeacherPublicProfile و getTeacherAvailability الموجودتين. 404 → رسالة غير موجود.</t>
        </is>
      </c>
      <c r="H56" s="31" t="inlineStr">
        <is>
          <t>routes/_authenticated/book.$teacherId.tsx</t>
        </is>
      </c>
      <c r="I56" s="31" t="inlineStr">
        <is>
          <t>Teacher/PublicProfile, Availability</t>
        </is>
      </c>
      <c r="J56" s="31" t="inlineStr">
        <is>
          <t>WP-00</t>
        </is>
      </c>
      <c r="K56" s="31" t="inlineStr">
        <is>
          <t>P0</t>
        </is>
      </c>
      <c r="L56" s="31" t="inlineStr">
        <is>
          <t>S</t>
        </is>
      </c>
      <c r="M56" s="30" t="inlineStr">
        <is>
          <t>قيد المراجعة</t>
        </is>
      </c>
      <c r="N56" s="30" t="inlineStr">
        <is>
          <t>Claude</t>
        </is>
      </c>
      <c r="O56" s="30" t="inlineStr">
        <is>
          <t>A-claude (منفّذ)</t>
        </is>
      </c>
      <c r="P56" s="43">
        <f>IFERROR(INDEX(WorkPackages!$H$5:$H$40,MATCH(B56,WorkPackages!$A$5:$A$40,0)),"")</f>
        <v/>
      </c>
      <c r="Q56" s="42" t="n"/>
      <c r="R56" s="42" t="n"/>
      <c r="S56" s="30" t="inlineStr">
        <is>
          <t>لا</t>
        </is>
      </c>
      <c r="T56" s="30" t="inlineStr">
        <is>
          <t>نفّذه Claude؛ book.$teacherId.tsx: تحميل الملف العام والتوفّر + حالات تحميل/خطأ/غير موجود — بانتظار validate</t>
        </is>
      </c>
      <c r="U56" s="31" t="inlineStr">
        <is>
          <t>لا</t>
        </is>
      </c>
      <c r="V56" s="31" t="inlineStr">
        <is>
          <t>منفّذ — قيد المراجعة</t>
        </is>
      </c>
      <c r="W56" s="31" t="n"/>
      <c r="X56" s="43">
        <f>IF(W56="","—",IFERROR(IF(INDEX(BackendChecklist!$H$5:$H$30,MATCH(W56,BackendChecklist!$A$5:$A$30,0))="نعم","جاهز للبدء",IF(V56="الآن (بنمط seam)","يبدأ بنمط seam — الربط ينتظر","ينتظر الباك اند")),"؟"))</f>
        <v/>
      </c>
    </row>
    <row r="57" ht="42" customHeight="1" s="26">
      <c r="A57" s="41" t="inlineStr">
        <is>
          <t>S1-02</t>
        </is>
      </c>
      <c r="B57" s="31" t="inlineStr">
        <is>
          <t>WP-S1</t>
        </is>
      </c>
      <c r="C57" s="43">
        <f>IFERROR(INDEX(WorkPackages!$C$5:$C$40,MATCH(B57,WorkPackages!$A$5:$A$40,0)),"")</f>
        <v/>
      </c>
      <c r="D57" s="31" t="inlineStr">
        <is>
          <t>FR-T06</t>
        </is>
      </c>
      <c r="E57" s="31" t="inlineStr">
        <is>
          <t>UI</t>
        </is>
      </c>
      <c r="F57" s="31" t="inlineStr">
        <is>
          <t>منتقي الوضع/اليوم/الوقت</t>
        </is>
      </c>
      <c r="G57" s="31" t="inlineStr">
        <is>
          <t>الوضع (أونلاين/حضوري) حسب ما يدعمه المعلم؛ التاريخ؛ الوقت من فترات التوفّر لنفس يوم الأسبوع؛ المدة (≤ 480 د).</t>
        </is>
      </c>
      <c r="H57" s="31" t="inlineStr">
        <is>
          <t>components/student/booking-slot-picker.tsx</t>
        </is>
      </c>
      <c r="I57" s="31" t="inlineStr">
        <is>
          <t>Teacher/Availability</t>
        </is>
      </c>
      <c r="J57" s="31" t="inlineStr">
        <is>
          <t>S1-01</t>
        </is>
      </c>
      <c r="K57" s="31" t="inlineStr">
        <is>
          <t>P0</t>
        </is>
      </c>
      <c r="L57" s="31" t="inlineStr">
        <is>
          <t>L</t>
        </is>
      </c>
      <c r="M57" s="30" t="inlineStr">
        <is>
          <t>قيد المراجعة</t>
        </is>
      </c>
      <c r="N57" s="30" t="inlineStr">
        <is>
          <t>Claude</t>
        </is>
      </c>
      <c r="O57" s="30" t="inlineStr">
        <is>
          <t>A-claude (منفّذ)</t>
        </is>
      </c>
      <c r="P57" s="43">
        <f>IFERROR(INDEX(WorkPackages!$H$5:$H$40,MATCH(B57,WorkPackages!$A$5:$A$40,0)),"")</f>
        <v/>
      </c>
      <c r="Q57" s="42" t="n"/>
      <c r="R57" s="42" t="n"/>
      <c r="S57" s="30" t="inlineStr">
        <is>
          <t>لا</t>
        </is>
      </c>
      <c r="T57" s="30" t="inlineStr">
        <is>
          <t>نفّذه Claude؛ booking-slot-picker.tsx + lib/booking-slots.ts (أوقات متاحة حسب اليوم/الوضع/المدة) — بانتظار validate</t>
        </is>
      </c>
      <c r="U57" s="31" t="inlineStr">
        <is>
          <t>لا</t>
        </is>
      </c>
      <c r="V57" s="31" t="inlineStr">
        <is>
          <t>منفّذ — قيد المراجعة</t>
        </is>
      </c>
      <c r="W57" s="31" t="n"/>
      <c r="X57" s="43">
        <f>IF(W57="","—",IFERROR(IF(INDEX(BackendChecklist!$H$5:$H$30,MATCH(W57,BackendChecklist!$A$5:$A$30,0))="نعم","جاهز للبدء",IF(V57="الآن (بنمط seam)","يبدأ بنمط seam — الربط ينتظر","ينتظر الباك اند")),"؟"))</f>
        <v/>
      </c>
    </row>
    <row r="58" ht="42" customHeight="1" s="26">
      <c r="A58" s="41" t="inlineStr">
        <is>
          <t>S1-03</t>
        </is>
      </c>
      <c r="B58" s="31" t="inlineStr">
        <is>
          <t>WP-S1</t>
        </is>
      </c>
      <c r="C58" s="43">
        <f>IFERROR(INDEX(WorkPackages!$C$5:$C$40,MATCH(B58,WorkPackages!$A$5:$A$40,0)),"")</f>
        <v/>
      </c>
      <c r="D58" s="31" t="inlineStr">
        <is>
          <t>FR-T06</t>
        </is>
      </c>
      <c r="E58" s="31" t="inlineStr">
        <is>
          <t>UI</t>
        </is>
      </c>
      <c r="F58" s="31" t="inlineStr">
        <is>
          <t>اختيار المادة والصف (IDs)</t>
        </is>
      </c>
      <c r="G58" s="31" t="inlineStr">
        <is>
          <t>Submit يتطلب subjectId/gradeId أرقامًا؛ الملف العام يرجع أسماء فقط → المصدر من Q-04.</t>
        </is>
      </c>
      <c r="H58" s="31" t="inlineStr">
        <is>
          <t>routes/_authenticated/book.$teacherId.tsx</t>
        </is>
      </c>
      <c r="I58" s="31" t="inlineStr">
        <is>
          <t>Teacher/CreateEditModal أو Constant/GetAll (Q-04)</t>
        </is>
      </c>
      <c r="J58" s="31" t="inlineStr">
        <is>
          <t>S1-01</t>
        </is>
      </c>
      <c r="K58" s="31" t="inlineStr">
        <is>
          <t>P0</t>
        </is>
      </c>
      <c r="L58" s="31" t="inlineStr">
        <is>
          <t>M</t>
        </is>
      </c>
      <c r="M58" s="30" t="inlineStr">
        <is>
          <t>لم يبدأ</t>
        </is>
      </c>
      <c r="N58" s="30" t="n"/>
      <c r="O58" s="30" t="n"/>
      <c r="P58" s="43">
        <f>IFERROR(INDEX(WorkPackages!$H$5:$H$40,MATCH(B58,WorkPackages!$A$5:$A$40,0)),"")</f>
        <v/>
      </c>
      <c r="Q58" s="42" t="n"/>
      <c r="R58" s="42" t="n"/>
      <c r="S58" s="30" t="inlineStr">
        <is>
          <t>لا</t>
        </is>
      </c>
      <c r="T58" s="30" t="n"/>
      <c r="U58" s="31" t="inlineStr">
        <is>
          <t>نعم</t>
        </is>
      </c>
      <c r="V58" s="31" t="inlineStr">
        <is>
          <t>بعد JSON</t>
        </is>
      </c>
      <c r="W58" s="31" t="inlineStr">
        <is>
          <t>NE-13</t>
        </is>
      </c>
      <c r="X58" s="43">
        <f>IF(W58="","—",IFERROR(IF(INDEX(BackendChecklist!$H$5:$H$30,MATCH(W58,BackendChecklist!$A$5:$A$30,0))="نعم","جاهز للبدء",IF(V58="الآن (بنمط seam)","يبدأ بنمط seam — الربط ينتظر","ينتظر الباك اند")),"؟"))</f>
        <v/>
      </c>
    </row>
    <row r="59" ht="42" customHeight="1" s="26">
      <c r="A59" s="41" t="inlineStr">
        <is>
          <t>S1-04</t>
        </is>
      </c>
      <c r="B59" s="31" t="inlineStr">
        <is>
          <t>WP-S1</t>
        </is>
      </c>
      <c r="C59" s="43">
        <f>IFERROR(INDEX(WorkPackages!$C$5:$C$40,MATCH(B59,WorkPackages!$A$5:$A$40,0)),"")</f>
        <v/>
      </c>
      <c r="D59" s="31" t="inlineStr">
        <is>
          <t>FR-T06</t>
        </is>
      </c>
      <c r="E59" s="31" t="inlineStr">
        <is>
          <t>UI</t>
        </is>
      </c>
      <c r="F59" s="31" t="inlineStr">
        <is>
          <t>تقدير السعر وفحص الرصيد</t>
        </is>
      </c>
      <c r="G59" s="31" t="inlineStr">
        <is>
          <t>سعر تقديري = سعر الساعة × المدة (مع تسمية «تقديري»). getMyWallet → InsufficientBalanceAlert مع رابط /wallet. نص يوضّح متى يُخصم المبلغ (يُؤكَّد بـ Q-06).</t>
        </is>
      </c>
      <c r="H59" s="31" t="inlineStr">
        <is>
          <t>routes/_authenticated/book.$teacherId.tsx</t>
        </is>
      </c>
      <c r="I59" s="31" t="inlineStr">
        <is>
          <t>Wallet/MyWallet</t>
        </is>
      </c>
      <c r="J59" s="31" t="inlineStr">
        <is>
          <t>S1-02</t>
        </is>
      </c>
      <c r="K59" s="31" t="inlineStr">
        <is>
          <t>P0</t>
        </is>
      </c>
      <c r="L59" s="31" t="inlineStr">
        <is>
          <t>M</t>
        </is>
      </c>
      <c r="M59" s="30" t="inlineStr">
        <is>
          <t>قيد المراجعة</t>
        </is>
      </c>
      <c r="N59" s="30" t="inlineStr">
        <is>
          <t>Claude</t>
        </is>
      </c>
      <c r="O59" s="30" t="inlineStr">
        <is>
          <t>A-claude (منفّذ)</t>
        </is>
      </c>
      <c r="P59" s="43">
        <f>IFERROR(INDEX(WorkPackages!$H$5:$H$40,MATCH(B59,WorkPackages!$A$5:$A$40,0)),"")</f>
        <v/>
      </c>
      <c r="Q59" s="42" t="n"/>
      <c r="R59" s="42" t="n"/>
      <c r="S59" s="30" t="inlineStr">
        <is>
          <t>لا</t>
        </is>
      </c>
      <c r="T59" s="30" t="inlineStr">
        <is>
          <t>نفّذه Claude؛ سعر تقديري + فحص الرصيد (InsufficientBalanceAlert) + نص لحظة الخصم (Q-06 افتراض) — بانتظار validate</t>
        </is>
      </c>
      <c r="U59" s="31" t="inlineStr">
        <is>
          <t>لا</t>
        </is>
      </c>
      <c r="V59" s="31" t="inlineStr">
        <is>
          <t>منفّذ — قيد المراجعة</t>
        </is>
      </c>
      <c r="W59" s="31" t="n"/>
      <c r="X59" s="43">
        <f>IF(W59="","—",IFERROR(IF(INDEX(BackendChecklist!$H$5:$H$30,MATCH(W59,BackendChecklist!$A$5:$A$30,0))="نعم","جاهز للبدء",IF(V59="الآن (بنمط seam)","يبدأ بنمط seam — الربط ينتظر","ينتظر الباك اند")),"؟"))</f>
        <v/>
      </c>
    </row>
    <row r="60" ht="42" customHeight="1" s="26">
      <c r="A60" s="41" t="inlineStr">
        <is>
          <t>S1-05</t>
        </is>
      </c>
      <c r="B60" s="31" t="inlineStr">
        <is>
          <t>WP-S1</t>
        </is>
      </c>
      <c r="C60" s="43">
        <f>IFERROR(INDEX(WorkPackages!$C$5:$C$40,MATCH(B60,WorkPackages!$A$5:$A$40,0)),"")</f>
        <v/>
      </c>
      <c r="D60" s="31" t="inlineStr">
        <is>
          <t>FR-T06</t>
        </is>
      </c>
      <c r="E60" s="31" t="inlineStr">
        <is>
          <t>UI</t>
        </is>
      </c>
      <c r="F60" s="31" t="inlineStr">
        <is>
          <t>إرسال الحجز</t>
        </is>
      </c>
      <c r="G60" s="31" t="inlineStr">
        <is>
          <t>Booking/Submit → assertOk → الانتقال لـ /booking/{returnId}. عرض رسائل الباك اند للفشل. invalidateBookingQueries.</t>
        </is>
      </c>
      <c r="H60" s="31" t="inlineStr">
        <is>
          <t>routes/_authenticated/book.$teacherId.tsx</t>
        </is>
      </c>
      <c r="I60" s="31" t="inlineStr">
        <is>
          <t>Booking/Submit</t>
        </is>
      </c>
      <c r="J60" s="31" t="inlineStr">
        <is>
          <t>S1-02, S1-03</t>
        </is>
      </c>
      <c r="K60" s="31" t="inlineStr">
        <is>
          <t>P0</t>
        </is>
      </c>
      <c r="L60" s="31" t="inlineStr">
        <is>
          <t>M</t>
        </is>
      </c>
      <c r="M60" s="30" t="inlineStr">
        <is>
          <t>لم يبدأ</t>
        </is>
      </c>
      <c r="N60" s="30" t="n"/>
      <c r="O60" s="30" t="n"/>
      <c r="P60" s="43">
        <f>IFERROR(INDEX(WorkPackages!$H$5:$H$40,MATCH(B60,WorkPackages!$A$5:$A$40,0)),"")</f>
        <v/>
      </c>
      <c r="Q60" s="42" t="n"/>
      <c r="R60" s="42" t="n"/>
      <c r="S60" s="30" t="inlineStr">
        <is>
          <t>لا</t>
        </is>
      </c>
      <c r="T60" s="30" t="n"/>
      <c r="U60" s="31" t="inlineStr">
        <is>
          <t>نعم</t>
        </is>
      </c>
      <c r="V60" s="31" t="inlineStr">
        <is>
          <t>بعد JSON</t>
        </is>
      </c>
      <c r="W60" s="31" t="inlineStr">
        <is>
          <t>NE-13</t>
        </is>
      </c>
      <c r="X60" s="43">
        <f>IF(W60="","—",IFERROR(IF(INDEX(BackendChecklist!$H$5:$H$30,MATCH(W60,BackendChecklist!$A$5:$A$30,0))="نعم","جاهز للبدء",IF(V60="الآن (بنمط seam)","يبدأ بنمط seam — الربط ينتظر","ينتظر الباك اند")),"؟"))</f>
        <v/>
      </c>
    </row>
    <row r="61" ht="42" customHeight="1" s="26">
      <c r="A61" s="41" t="inlineStr">
        <is>
          <t>S1-06</t>
        </is>
      </c>
      <c r="B61" s="31" t="inlineStr">
        <is>
          <t>WP-S1</t>
        </is>
      </c>
      <c r="C61" s="43">
        <f>IFERROR(INDEX(WorkPackages!$C$5:$C$40,MATCH(B61,WorkPackages!$A$5:$A$40,0)),"")</f>
        <v/>
      </c>
      <c r="D61" s="31" t="inlineStr">
        <is>
          <t>FR-T06</t>
        </is>
      </c>
      <c r="E61" s="31" t="inlineStr">
        <is>
          <t>UI</t>
        </is>
      </c>
      <c r="F61" s="31" t="inlineStr">
        <is>
          <t>تفعيل زر الحجز في صفحة المعلم</t>
        </is>
      </c>
      <c r="G61" s="31" t="inlineStr">
        <is>
          <t>استبدال الزر المعطّل بـ Link إلى /book/$id (الزائر يُحوَّل لتسجيل الدخول). إخفاؤه لدور معلم/أدمن. حذف النص القديم «غير مفعّل بالباك اند».</t>
        </is>
      </c>
      <c r="H61" s="31" t="inlineStr">
        <is>
          <t>routes/teacher.$id.tsx</t>
        </is>
      </c>
      <c r="I61" s="31" t="inlineStr">
        <is>
          <t>—</t>
        </is>
      </c>
      <c r="J61" s="31" t="inlineStr">
        <is>
          <t>S1-05</t>
        </is>
      </c>
      <c r="K61" s="31" t="inlineStr">
        <is>
          <t>P0</t>
        </is>
      </c>
      <c r="L61" s="31" t="inlineStr">
        <is>
          <t>S</t>
        </is>
      </c>
      <c r="M61" s="30" t="inlineStr">
        <is>
          <t>قيد المراجعة</t>
        </is>
      </c>
      <c r="N61" s="30" t="inlineStr">
        <is>
          <t>Claude</t>
        </is>
      </c>
      <c r="O61" s="30" t="inlineStr">
        <is>
          <t>A-claude (منفّذ)</t>
        </is>
      </c>
      <c r="P61" s="43">
        <f>IFERROR(INDEX(WorkPackages!$H$5:$H$40,MATCH(B61,WorkPackages!$A$5:$A$40,0)),"")</f>
        <v/>
      </c>
      <c r="Q61" s="42" t="n"/>
      <c r="R61" s="42" t="n"/>
      <c r="S61" s="30" t="inlineStr">
        <is>
          <t>لا</t>
        </is>
      </c>
      <c r="T61" s="30" t="inlineStr">
        <is>
          <t>نفّذه Claude؛ الكود جاهز لكن خلف BOOKING_FLOW_ENABLED=false حتى يكتمل S1-05 (S1-03/Q-04)؛ الزر المعطّل الحالي باقٍ بنصه الصادق — بانتظار validate</t>
        </is>
      </c>
      <c r="U61" s="31" t="inlineStr">
        <is>
          <t>لا</t>
        </is>
      </c>
      <c r="V61" s="31" t="inlineStr">
        <is>
          <t>منفّذ — قيد المراجعة</t>
        </is>
      </c>
      <c r="W61" s="31" t="n"/>
      <c r="X61" s="43">
        <f>IF(W61="","—",IFERROR(IF(INDEX(BackendChecklist!$H$5:$H$30,MATCH(W61,BackendChecklist!$A$5:$A$30,0))="نعم","جاهز للبدء",IF(V61="الآن (بنمط seam)","يبدأ بنمط seam — الربط ينتظر","ينتظر الباك اند")),"؟"))</f>
        <v/>
      </c>
    </row>
    <row r="62" ht="42" customHeight="1" s="26">
      <c r="A62" s="41" t="inlineStr">
        <is>
          <t>S1-07</t>
        </is>
      </c>
      <c r="B62" s="31" t="inlineStr">
        <is>
          <t>WP-S1</t>
        </is>
      </c>
      <c r="C62" s="43">
        <f>IFERROR(INDEX(WorkPackages!$C$5:$C$40,MATCH(B62,WorkPackages!$A$5:$A$40,0)),"")</f>
        <v/>
      </c>
      <c r="D62" s="31" t="inlineStr">
        <is>
          <t>FR-T06</t>
        </is>
      </c>
      <c r="E62" s="31" t="inlineStr">
        <is>
          <t>UI</t>
        </is>
      </c>
      <c r="F62" s="31" t="inlineStr">
        <is>
          <t>ملاحظة الطالب والتحقق</t>
        </is>
      </c>
      <c r="G62" s="31" t="inlineStr">
        <is>
          <t>studentNote اختياري؛ التاريخ بالمستقبل؛ المدة ضمن الحد.</t>
        </is>
      </c>
      <c r="H62" s="31" t="inlineStr">
        <is>
          <t>routes/_authenticated/book.$teacherId.tsx</t>
        </is>
      </c>
      <c r="I62" s="31" t="inlineStr">
        <is>
          <t>—</t>
        </is>
      </c>
      <c r="J62" s="31" t="inlineStr">
        <is>
          <t>S1-02</t>
        </is>
      </c>
      <c r="K62" s="31" t="inlineStr">
        <is>
          <t>P1</t>
        </is>
      </c>
      <c r="L62" s="31" t="inlineStr">
        <is>
          <t>S</t>
        </is>
      </c>
      <c r="M62" s="30" t="inlineStr">
        <is>
          <t>قيد المراجعة</t>
        </is>
      </c>
      <c r="N62" s="30" t="inlineStr">
        <is>
          <t>Claude</t>
        </is>
      </c>
      <c r="O62" s="30" t="inlineStr">
        <is>
          <t>A-claude (منفّذ)</t>
        </is>
      </c>
      <c r="P62" s="43">
        <f>IFERROR(INDEX(WorkPackages!$H$5:$H$40,MATCH(B62,WorkPackages!$A$5:$A$40,0)),"")</f>
        <v/>
      </c>
      <c r="Q62" s="42" t="n"/>
      <c r="R62" s="42" t="n"/>
      <c r="S62" s="30" t="inlineStr">
        <is>
          <t>لا</t>
        </is>
      </c>
      <c r="T62" s="30" t="inlineStr">
        <is>
          <t>نفّذه Claude؛ ملاحظة الطالب + تحقق (تاريخ مستقبلي، مدة 30..480، ضمن التوفّر، طول الملاحظة) — بانتظار validate</t>
        </is>
      </c>
      <c r="U62" s="31" t="inlineStr">
        <is>
          <t>لا</t>
        </is>
      </c>
      <c r="V62" s="31" t="inlineStr">
        <is>
          <t>منفّذ — قيد المراجعة</t>
        </is>
      </c>
      <c r="W62" s="31" t="n"/>
      <c r="X62" s="43">
        <f>IF(W62="","—",IFERROR(IF(INDEX(BackendChecklist!$H$5:$H$30,MATCH(W62,BackendChecklist!$A$5:$A$30,0))="نعم","جاهز للبدء",IF(V62="الآن (بنمط seam)","يبدأ بنمط seam — الربط ينتظر","ينتظر الباك اند")),"؟"))</f>
        <v/>
      </c>
    </row>
    <row r="63" ht="42" customHeight="1" s="26">
      <c r="A63" s="41" t="inlineStr">
        <is>
          <t>S1-08</t>
        </is>
      </c>
      <c r="B63" s="31" t="inlineStr">
        <is>
          <t>WP-S1</t>
        </is>
      </c>
      <c r="C63" s="43">
        <f>IFERROR(INDEX(WorkPackages!$C$5:$C$40,MATCH(B63,WorkPackages!$A$5:$A$40,0)),"")</f>
        <v/>
      </c>
      <c r="D63" s="31" t="inlineStr">
        <is>
          <t>FR-T06</t>
        </is>
      </c>
      <c r="E63" s="31" t="inlineStr">
        <is>
          <t>Test</t>
        </is>
      </c>
      <c r="F63" s="31" t="inlineStr">
        <is>
          <t>اختبارات منطق الاختيار</t>
        </is>
      </c>
      <c r="G63" s="31" t="inlineStr">
        <is>
          <t>اختبارات نقية لتوليد الأوقات المتاحة وتقدير السعر.</t>
        </is>
      </c>
      <c r="H63" s="31" t="inlineStr">
        <is>
          <t>components/student/booking-slot-picker.test.ts</t>
        </is>
      </c>
      <c r="I63" s="31" t="inlineStr">
        <is>
          <t>—</t>
        </is>
      </c>
      <c r="J63" s="31" t="inlineStr">
        <is>
          <t>S1-02</t>
        </is>
      </c>
      <c r="K63" s="31" t="inlineStr">
        <is>
          <t>P1</t>
        </is>
      </c>
      <c r="L63" s="31" t="inlineStr">
        <is>
          <t>S</t>
        </is>
      </c>
      <c r="M63" s="30" t="inlineStr">
        <is>
          <t>قيد المراجعة</t>
        </is>
      </c>
      <c r="N63" s="30" t="inlineStr">
        <is>
          <t>Claude</t>
        </is>
      </c>
      <c r="O63" s="30" t="inlineStr">
        <is>
          <t>A-claude (منفّذ)</t>
        </is>
      </c>
      <c r="P63" s="43">
        <f>IFERROR(INDEX(WorkPackages!$H$5:$H$40,MATCH(B63,WorkPackages!$A$5:$A$40,0)),"")</f>
        <v/>
      </c>
      <c r="Q63" s="42" t="n"/>
      <c r="R63" s="42" t="n"/>
      <c r="S63" s="30" t="inlineStr">
        <is>
          <t>لا</t>
        </is>
      </c>
      <c r="T63" s="30" t="inlineStr">
        <is>
          <t>نفّذه Claude؛ booking-slot-picker.test.ts (27 فحصًا لمنطق booking-slots) — بانتظار validate</t>
        </is>
      </c>
      <c r="U63" s="31" t="inlineStr">
        <is>
          <t>لا</t>
        </is>
      </c>
      <c r="V63" s="31" t="inlineStr">
        <is>
          <t>منفّذ — قيد المراجعة</t>
        </is>
      </c>
      <c r="W63" s="31" t="n"/>
      <c r="X63" s="43">
        <f>IF(W63="","—",IFERROR(IF(INDEX(BackendChecklist!$H$5:$H$30,MATCH(W63,BackendChecklist!$A$5:$A$30,0))="نعم","جاهز للبدء",IF(V63="الآن (بنمط seam)","يبدأ بنمط seam — الربط ينتظر","ينتظر الباك اند")),"؟"))</f>
        <v/>
      </c>
    </row>
    <row r="64" ht="42" customHeight="1" s="26">
      <c r="A64" s="41" t="inlineStr">
        <is>
          <t>S2-01</t>
        </is>
      </c>
      <c r="B64" s="31" t="inlineStr">
        <is>
          <t>WP-S2</t>
        </is>
      </c>
      <c r="C64" s="43">
        <f>IFERROR(INDEX(WorkPackages!$C$5:$C$40,MATCH(B64,WorkPackages!$A$5:$A$40,0)),"")</f>
        <v/>
      </c>
      <c r="D64" s="31" t="inlineStr">
        <is>
          <t>FR-S14</t>
        </is>
      </c>
      <c r="E64" s="31" t="inlineStr">
        <is>
          <t>UI</t>
        </is>
      </c>
      <c r="F64" s="31" t="inlineStr">
        <is>
          <t>صفحة تفاصيل الحجز</t>
        </is>
      </c>
      <c r="G64" s="31" t="inlineStr">
        <is>
          <t>Student/GetBooking: المعلم، التاريخ، الوقت، المدة، الوضع، السعر، الحالة (BookingStatusBadge)، سبب الرفض/الإلغاء إن وجد.</t>
        </is>
      </c>
      <c r="H64" s="31" t="inlineStr">
        <is>
          <t>routes/_authenticated/booking.$id.tsx</t>
        </is>
      </c>
      <c r="I64" s="31" t="inlineStr">
        <is>
          <t>Student/GetBooking</t>
        </is>
      </c>
      <c r="J64" s="31" t="inlineStr">
        <is>
          <t>WP-00</t>
        </is>
      </c>
      <c r="K64" s="31" t="inlineStr">
        <is>
          <t>P0</t>
        </is>
      </c>
      <c r="L64" s="31" t="inlineStr">
        <is>
          <t>M</t>
        </is>
      </c>
      <c r="M64" s="30" t="inlineStr">
        <is>
          <t>لم يبدأ</t>
        </is>
      </c>
      <c r="N64" s="30" t="n"/>
      <c r="O64" s="30" t="n"/>
      <c r="P64" s="43">
        <f>IFERROR(INDEX(WorkPackages!$H$5:$H$40,MATCH(B64,WorkPackages!$A$5:$A$40,0)),"")</f>
        <v/>
      </c>
      <c r="Q64" s="42" t="n"/>
      <c r="R64" s="42" t="n"/>
      <c r="S64" s="30" t="inlineStr">
        <is>
          <t>لا</t>
        </is>
      </c>
      <c r="T64" s="30" t="n"/>
      <c r="U64" s="31" t="inlineStr">
        <is>
          <t>نعم</t>
        </is>
      </c>
      <c r="V64" s="31" t="inlineStr">
        <is>
          <t>بعد JSON</t>
        </is>
      </c>
      <c r="W64" s="31" t="inlineStr">
        <is>
          <t>NE-02</t>
        </is>
      </c>
      <c r="X64" s="43">
        <f>IF(W64="","—",IFERROR(IF(INDEX(BackendChecklist!$H$5:$H$30,MATCH(W64,BackendChecklist!$A$5:$A$30,0))="نعم","جاهز للبدء",IF(V64="الآن (بنمط seam)","يبدأ بنمط seam — الربط ينتظر","ينتظر الباك اند")),"؟"))</f>
        <v/>
      </c>
    </row>
    <row r="65" ht="42" customHeight="1" s="26">
      <c r="A65" s="41" t="inlineStr">
        <is>
          <t>S2-02</t>
        </is>
      </c>
      <c r="B65" s="31" t="inlineStr">
        <is>
          <t>WP-S2</t>
        </is>
      </c>
      <c r="C65" s="43">
        <f>IFERROR(INDEX(WorkPackages!$C$5:$C$40,MATCH(B65,WorkPackages!$A$5:$A$40,0)),"")</f>
        <v/>
      </c>
      <c r="D65" s="31" t="inlineStr">
        <is>
          <t>FR-S14</t>
        </is>
      </c>
      <c r="E65" s="31" t="inlineStr">
        <is>
          <t>UI</t>
        </is>
      </c>
      <c r="F65" s="31" t="inlineStr">
        <is>
          <t>منطقة الإجراءات حسب الأهلية</t>
        </is>
      </c>
      <c r="G65" s="31" t="inlineStr">
        <is>
          <t>دمج: BookingPaymentCard (WP-W1) + CancelBookingDialog + RescheduleDialog (WP-S3) + RateBookingDialog (WP-S4) بحسب booking-rules.ts. الاستيراد من Stubs.</t>
        </is>
      </c>
      <c r="H65" s="31" t="inlineStr">
        <is>
          <t>routes/_authenticated/booking.$id.tsx</t>
        </is>
      </c>
      <c r="I65" s="31" t="inlineStr">
        <is>
          <t>—</t>
        </is>
      </c>
      <c r="J65" s="31" t="inlineStr">
        <is>
          <t>S2-01</t>
        </is>
      </c>
      <c r="K65" s="31" t="inlineStr">
        <is>
          <t>P0</t>
        </is>
      </c>
      <c r="L65" s="31" t="inlineStr">
        <is>
          <t>S</t>
        </is>
      </c>
      <c r="M65" s="30" t="inlineStr">
        <is>
          <t>لم يبدأ</t>
        </is>
      </c>
      <c r="N65" s="30" t="n"/>
      <c r="O65" s="30" t="n"/>
      <c r="P65" s="43">
        <f>IFERROR(INDEX(WorkPackages!$H$5:$H$40,MATCH(B65,WorkPackages!$A$5:$A$40,0)),"")</f>
        <v/>
      </c>
      <c r="Q65" s="42" t="n"/>
      <c r="R65" s="42" t="n"/>
      <c r="S65" s="30" t="inlineStr">
        <is>
          <t>لا</t>
        </is>
      </c>
      <c r="T65" s="30" t="n"/>
      <c r="U65" s="31" t="inlineStr">
        <is>
          <t>نعم</t>
        </is>
      </c>
      <c r="V65" s="31" t="inlineStr">
        <is>
          <t>بعد JSON</t>
        </is>
      </c>
      <c r="W65" s="31" t="inlineStr">
        <is>
          <t>NE-02</t>
        </is>
      </c>
      <c r="X65" s="43">
        <f>IF(W65="","—",IFERROR(IF(INDEX(BackendChecklist!$H$5:$H$30,MATCH(W65,BackendChecklist!$A$5:$A$30,0))="نعم","جاهز للبدء",IF(V65="الآن (بنمط seam)","يبدأ بنمط seam — الربط ينتظر","ينتظر الباك اند")),"؟"))</f>
        <v/>
      </c>
    </row>
    <row r="66" ht="42" customHeight="1" s="26">
      <c r="A66" s="41" t="inlineStr">
        <is>
          <t>S2-03</t>
        </is>
      </c>
      <c r="B66" s="31" t="inlineStr">
        <is>
          <t>WP-S2</t>
        </is>
      </c>
      <c r="C66" s="43">
        <f>IFERROR(INDEX(WorkPackages!$C$5:$C$40,MATCH(B66,WorkPackages!$A$5:$A$40,0)),"")</f>
        <v/>
      </c>
      <c r="D66" s="31" t="inlineStr">
        <is>
          <t>FR-S14</t>
        </is>
      </c>
      <c r="E66" s="31" t="inlineStr">
        <is>
          <t>UI</t>
        </is>
      </c>
      <c r="F66" s="31" t="inlineStr">
        <is>
          <t>نافذة إلغاء الحجز</t>
        </is>
      </c>
      <c r="G66" s="31" t="inlineStr">
        <is>
          <t>سبب اختياري + تأكيد → Student/CancelBooking {bookingId, reason}. عرض رسالة سياسة الإلغاء من الباك اند عند الرفض. بعد النجاح: الحالة Cancelled وتبقى بالسجل.</t>
        </is>
      </c>
      <c r="H66" s="31" t="inlineStr">
        <is>
          <t>components/student/cancel-booking-dialog.tsx</t>
        </is>
      </c>
      <c r="I66" s="31" t="inlineStr">
        <is>
          <t>Student/CancelBooking</t>
        </is>
      </c>
      <c r="J66" s="31" t="inlineStr">
        <is>
          <t>S2-01</t>
        </is>
      </c>
      <c r="K66" s="31" t="inlineStr">
        <is>
          <t>P0</t>
        </is>
      </c>
      <c r="L66" s="31" t="inlineStr">
        <is>
          <t>M</t>
        </is>
      </c>
      <c r="M66" s="30" t="inlineStr">
        <is>
          <t>قيد المراجعة</t>
        </is>
      </c>
      <c r="N66" s="30" t="inlineStr">
        <is>
          <t>Claude</t>
        </is>
      </c>
      <c r="O66" s="30" t="inlineStr">
        <is>
          <t>A-claude (منفّذ)</t>
        </is>
      </c>
      <c r="P66" s="43">
        <f>IFERROR(INDEX(WorkPackages!$H$5:$H$40,MATCH(B66,WorkPackages!$A$5:$A$40,0)),"")</f>
        <v/>
      </c>
      <c r="Q66" s="42" t="n"/>
      <c r="R66" s="42" t="n"/>
      <c r="S66" s="30" t="inlineStr">
        <is>
          <t>لا</t>
        </is>
      </c>
      <c r="T66" s="30" t="inlineStr">
        <is>
          <t>نفّذه Claude؛ cancel-booking-dialog.tsx (Student/CancelBooking؛ رسالة السياسة من الباك اند) — بانتظار validate</t>
        </is>
      </c>
      <c r="U66" s="31" t="inlineStr">
        <is>
          <t>لا</t>
        </is>
      </c>
      <c r="V66" s="31" t="inlineStr">
        <is>
          <t>منفّذ — قيد المراجعة</t>
        </is>
      </c>
      <c r="W66" s="31" t="n"/>
      <c r="X66" s="43">
        <f>IF(W66="","—",IFERROR(IF(INDEX(BackendChecklist!$H$5:$H$30,MATCH(W66,BackendChecklist!$A$5:$A$30,0))="نعم","جاهز للبدء",IF(V66="الآن (بنمط seam)","يبدأ بنمط seam — الربط ينتظر","ينتظر الباك اند")),"؟"))</f>
        <v/>
      </c>
    </row>
    <row r="67" ht="42" customHeight="1" s="26">
      <c r="A67" s="41" t="inlineStr">
        <is>
          <t>S2-04</t>
        </is>
      </c>
      <c r="B67" s="31" t="inlineStr">
        <is>
          <t>WP-S2</t>
        </is>
      </c>
      <c r="C67" s="43">
        <f>IFERROR(INDEX(WorkPackages!$C$5:$C$40,MATCH(B67,WorkPackages!$A$5:$A$40,0)),"")</f>
        <v/>
      </c>
      <c r="D67" s="31" t="inlineStr">
        <is>
          <t>FR-S14</t>
        </is>
      </c>
      <c r="E67" s="31" t="inlineStr">
        <is>
          <t>UI</t>
        </is>
      </c>
      <c r="F67" s="31" t="inlineStr">
        <is>
          <t>لوحتا الحجوزات المؤكدة والطلبات المعلقة</t>
        </is>
      </c>
      <c r="G67" s="31" t="inlineStr">
        <is>
          <t>استخراجهما من my-courses (Stubs من WP-00) + رابط لكل صف إلى /booking/$id + عرض المرفوض/الملغى كسجل (Student Access Rules).</t>
        </is>
      </c>
      <c r="H67" s="31" t="inlineStr">
        <is>
          <t>components/student/my-courses/confirmed-bookings-panel.tsx, components/student/my-courses/pending-requests-panel.tsx</t>
        </is>
      </c>
      <c r="I67" s="31" t="inlineStr">
        <is>
          <t>Student/MyBookings, MyRequests</t>
        </is>
      </c>
      <c r="J67" s="31" t="inlineStr">
        <is>
          <t>WP-00</t>
        </is>
      </c>
      <c r="K67" s="31" t="inlineStr">
        <is>
          <t>P1</t>
        </is>
      </c>
      <c r="L67" s="31" t="inlineStr">
        <is>
          <t>M</t>
        </is>
      </c>
      <c r="M67" s="30" t="inlineStr">
        <is>
          <t>قيد المراجعة</t>
        </is>
      </c>
      <c r="N67" s="30" t="inlineStr">
        <is>
          <t>Claude</t>
        </is>
      </c>
      <c r="O67" s="30" t="inlineStr">
        <is>
          <t>A-claude (منفّذ)</t>
        </is>
      </c>
      <c r="P67" s="43">
        <f>IFERROR(INDEX(WorkPackages!$H$5:$H$40,MATCH(B67,WorkPackages!$A$5:$A$40,0)),"")</f>
        <v/>
      </c>
      <c r="Q67" s="42" t="n"/>
      <c r="R67" s="42" t="n"/>
      <c r="S67" s="30" t="inlineStr">
        <is>
          <t>لا</t>
        </is>
      </c>
      <c r="T67" s="30" t="inlineStr">
        <is>
          <t>نفّذه Claude؛ لوحتان بروابط /booking/$id أو /lesson/$id + سجل مرفوض/ملغى (يستبعد المكرر)؛ ملف جديد my-courses/schedule-row.tsx — بانتظار validate</t>
        </is>
      </c>
      <c r="U67" s="31" t="inlineStr">
        <is>
          <t>لا</t>
        </is>
      </c>
      <c r="V67" s="31" t="inlineStr">
        <is>
          <t>منفّذ — قيد المراجعة</t>
        </is>
      </c>
      <c r="W67" s="31" t="n"/>
      <c r="X67" s="43">
        <f>IF(W67="","—",IFERROR(IF(INDEX(BackendChecklist!$H$5:$H$30,MATCH(W67,BackendChecklist!$A$5:$A$30,0))="نعم","جاهز للبدء",IF(V67="الآن (بنمط seam)","يبدأ بنمط seam — الربط ينتظر","ينتظر الباك اند")),"؟"))</f>
        <v/>
      </c>
    </row>
    <row r="68" ht="42" customHeight="1" s="26">
      <c r="A68" s="41" t="inlineStr">
        <is>
          <t>S2-05</t>
        </is>
      </c>
      <c r="B68" s="31" t="inlineStr">
        <is>
          <t>WP-S2</t>
        </is>
      </c>
      <c r="C68" s="43">
        <f>IFERROR(INDEX(WorkPackages!$C$5:$C$40,MATCH(B68,WorkPackages!$A$5:$A$40,0)),"")</f>
        <v/>
      </c>
      <c r="D68" s="31" t="inlineStr">
        <is>
          <t>FR-S14</t>
        </is>
      </c>
      <c r="E68" s="31" t="inlineStr">
        <is>
          <t>Test</t>
        </is>
      </c>
      <c r="F68" s="31" t="inlineStr">
        <is>
          <t>اختبارات + حالات الخطأ</t>
        </is>
      </c>
      <c r="G68" s="31" t="inlineStr">
        <is>
          <t>403/404 على حجز لا يخص الطالب → رسالة وصول مرفوض؛ اختبار نقي لأي منطق جديد.</t>
        </is>
      </c>
      <c r="H68" s="31" t="inlineStr">
        <is>
          <t>routes/_authenticated/booking.$id.tsx</t>
        </is>
      </c>
      <c r="I68" s="31" t="inlineStr">
        <is>
          <t>—</t>
        </is>
      </c>
      <c r="J68" s="31" t="inlineStr">
        <is>
          <t>S2-01</t>
        </is>
      </c>
      <c r="K68" s="31" t="inlineStr">
        <is>
          <t>P1</t>
        </is>
      </c>
      <c r="L68" s="31" t="inlineStr">
        <is>
          <t>S</t>
        </is>
      </c>
      <c r="M68" s="30" t="inlineStr">
        <is>
          <t>لم يبدأ</t>
        </is>
      </c>
      <c r="N68" s="30" t="n"/>
      <c r="O68" s="30" t="n"/>
      <c r="P68" s="43">
        <f>IFERROR(INDEX(WorkPackages!$H$5:$H$40,MATCH(B68,WorkPackages!$A$5:$A$40,0)),"")</f>
        <v/>
      </c>
      <c r="Q68" s="42" t="n"/>
      <c r="R68" s="42" t="n"/>
      <c r="S68" s="30" t="inlineStr">
        <is>
          <t>لا</t>
        </is>
      </c>
      <c r="T68" s="30" t="n"/>
      <c r="U68" s="31" t="inlineStr">
        <is>
          <t>نعم</t>
        </is>
      </c>
      <c r="V68" s="31" t="inlineStr">
        <is>
          <t>بعد JSON</t>
        </is>
      </c>
      <c r="W68" s="31" t="inlineStr">
        <is>
          <t>NE-02</t>
        </is>
      </c>
      <c r="X68" s="43">
        <f>IF(W68="","—",IFERROR(IF(INDEX(BackendChecklist!$H$5:$H$30,MATCH(W68,BackendChecklist!$A$5:$A$30,0))="نعم","جاهز للبدء",IF(V68="الآن (بنمط seam)","يبدأ بنمط seam — الربط ينتظر","ينتظر الباك اند")),"؟"))</f>
        <v/>
      </c>
    </row>
    <row r="69" ht="42" customHeight="1" s="26">
      <c r="A69" s="41" t="inlineStr">
        <is>
          <t>S3-01</t>
        </is>
      </c>
      <c r="B69" s="31" t="inlineStr">
        <is>
          <t>WP-S3</t>
        </is>
      </c>
      <c r="C69" s="43">
        <f>IFERROR(INDEX(WorkPackages!$C$5:$C$40,MATCH(B69,WorkPackages!$A$5:$A$40,0)),"")</f>
        <v/>
      </c>
      <c r="D69" s="31" t="inlineStr">
        <is>
          <t>FR-S15</t>
        </is>
      </c>
      <c r="E69" s="31" t="inlineStr">
        <is>
          <t>UI</t>
        </is>
      </c>
      <c r="F69" s="31" t="inlineStr">
        <is>
          <t>نافذة طلب إعادة الجدولة</t>
        </is>
      </c>
      <c r="G69" s="31" t="inlineStr">
        <is>
          <t>التاريخ المقترح + الوقت المقترح + ملاحظة → Student/RequestReschedule. تظهر فقط للحجز المؤهل.</t>
        </is>
      </c>
      <c r="H69" s="31" t="inlineStr">
        <is>
          <t>components/student/reschedule-dialog.tsx</t>
        </is>
      </c>
      <c r="I69" s="31" t="inlineStr">
        <is>
          <t>Student/RequestReschedule</t>
        </is>
      </c>
      <c r="J69" s="31" t="inlineStr">
        <is>
          <t>WP-00</t>
        </is>
      </c>
      <c r="K69" s="31" t="inlineStr">
        <is>
          <t>P0</t>
        </is>
      </c>
      <c r="L69" s="31" t="inlineStr">
        <is>
          <t>M</t>
        </is>
      </c>
      <c r="M69" s="30" t="inlineStr">
        <is>
          <t>قيد المراجعة</t>
        </is>
      </c>
      <c r="N69" s="30" t="inlineStr">
        <is>
          <t>Claude</t>
        </is>
      </c>
      <c r="O69" s="30" t="inlineStr">
        <is>
          <t>A-claude (منفّذ)</t>
        </is>
      </c>
      <c r="P69" s="43">
        <f>IFERROR(INDEX(WorkPackages!$H$5:$H$40,MATCH(B69,WorkPackages!$A$5:$A$40,0)),"")</f>
        <v/>
      </c>
      <c r="Q69" s="42" t="n"/>
      <c r="R69" s="42" t="n"/>
      <c r="S69" s="30" t="inlineStr">
        <is>
          <t>لا</t>
        </is>
      </c>
      <c r="T69" s="30" t="inlineStr">
        <is>
          <t>نفّذه Claude؛ reschedule-dialog.tsx (Student/RequestReschedule) — بانتظار validate</t>
        </is>
      </c>
      <c r="U69" s="31" t="inlineStr">
        <is>
          <t>لا</t>
        </is>
      </c>
      <c r="V69" s="31" t="inlineStr">
        <is>
          <t>منفّذ — قيد المراجعة</t>
        </is>
      </c>
      <c r="W69" s="31" t="n"/>
      <c r="X69" s="43">
        <f>IF(W69="","—",IFERROR(IF(INDEX(BackendChecklist!$H$5:$H$30,MATCH(W69,BackendChecklist!$A$5:$A$30,0))="نعم","جاهز للبدء",IF(V69="الآن (بنمط seam)","يبدأ بنمط seam — الربط ينتظر","ينتظر الباك اند")),"؟"))</f>
        <v/>
      </c>
    </row>
    <row r="70" ht="42" customHeight="1" s="26">
      <c r="A70" s="41" t="inlineStr">
        <is>
          <t>S3-02</t>
        </is>
      </c>
      <c r="B70" s="31" t="inlineStr">
        <is>
          <t>WP-S3</t>
        </is>
      </c>
      <c r="C70" s="43">
        <f>IFERROR(INDEX(WorkPackages!$C$5:$C$40,MATCH(B70,WorkPackages!$A$5:$A$40,0)),"")</f>
        <v/>
      </c>
      <c r="D70" s="31" t="inlineStr">
        <is>
          <t>FR-S15</t>
        </is>
      </c>
      <c r="E70" s="31" t="inlineStr">
        <is>
          <t>UI</t>
        </is>
      </c>
      <c r="F70" s="31" t="inlineStr">
        <is>
          <t>لوحة طلبات إعادة الجدولة</t>
        </is>
      </c>
      <c r="G70" s="31" t="inlineStr">
        <is>
          <t>Student/MyRescheduleRequests مع شارة حالة (أسماء الحالات من Q-05) لتتبّع الطلب.</t>
        </is>
      </c>
      <c r="H70" s="31" t="inlineStr">
        <is>
          <t>components/student/my-courses/reschedule-requests-panel.tsx</t>
        </is>
      </c>
      <c r="I70" s="31" t="inlineStr">
        <is>
          <t>Student/MyRescheduleRequests</t>
        </is>
      </c>
      <c r="J70" s="31" t="inlineStr">
        <is>
          <t>WP-00</t>
        </is>
      </c>
      <c r="K70" s="31" t="inlineStr">
        <is>
          <t>P0</t>
        </is>
      </c>
      <c r="L70" s="31" t="inlineStr">
        <is>
          <t>M</t>
        </is>
      </c>
      <c r="M70" s="30" t="inlineStr">
        <is>
          <t>لم يبدأ</t>
        </is>
      </c>
      <c r="N70" s="30" t="n"/>
      <c r="O70" s="30" t="n"/>
      <c r="P70" s="43">
        <f>IFERROR(INDEX(WorkPackages!$H$5:$H$40,MATCH(B70,WorkPackages!$A$5:$A$40,0)),"")</f>
        <v/>
      </c>
      <c r="Q70" s="42" t="n"/>
      <c r="R70" s="42" t="n"/>
      <c r="S70" s="30" t="inlineStr">
        <is>
          <t>لا</t>
        </is>
      </c>
      <c r="T70" s="30" t="n"/>
      <c r="U70" s="31" t="inlineStr">
        <is>
          <t>نعم</t>
        </is>
      </c>
      <c r="V70" s="31" t="inlineStr">
        <is>
          <t>بعد JSON</t>
        </is>
      </c>
      <c r="W70" s="31" t="inlineStr">
        <is>
          <t>NE-04</t>
        </is>
      </c>
      <c r="X70" s="43">
        <f>IF(W70="","—",IFERROR(IF(INDEX(BackendChecklist!$H$5:$H$30,MATCH(W70,BackendChecklist!$A$5:$A$30,0))="نعم","جاهز للبدء",IF(V70="الآن (بنمط seam)","يبدأ بنمط seam — الربط ينتظر","ينتظر الباك اند")),"؟"))</f>
        <v/>
      </c>
    </row>
    <row r="71" ht="42" customHeight="1" s="26">
      <c r="A71" s="41" t="inlineStr">
        <is>
          <t>S3-03</t>
        </is>
      </c>
      <c r="B71" s="31" t="inlineStr">
        <is>
          <t>WP-S3</t>
        </is>
      </c>
      <c r="C71" s="43">
        <f>IFERROR(INDEX(WorkPackages!$C$5:$C$40,MATCH(B71,WorkPackages!$A$5:$A$40,0)),"")</f>
        <v/>
      </c>
      <c r="D71" s="31" t="inlineStr">
        <is>
          <t>FR-S15</t>
        </is>
      </c>
      <c r="E71" s="31" t="inlineStr">
        <is>
          <t>UI</t>
        </is>
      </c>
      <c r="F71" s="31" t="inlineStr">
        <is>
          <t>أخطاء التعارض/عدم التوفّر</t>
        </is>
      </c>
      <c r="G71" s="31" t="inlineStr">
        <is>
          <t>عرض رسالة الباك اند ومنع الإرسال وطلب وقت آخر (Exception Flow).</t>
        </is>
      </c>
      <c r="H71" s="31" t="inlineStr">
        <is>
          <t>components/student/reschedule-dialog.tsx</t>
        </is>
      </c>
      <c r="I71" s="31" t="inlineStr">
        <is>
          <t>—</t>
        </is>
      </c>
      <c r="J71" s="31" t="inlineStr">
        <is>
          <t>S3-01</t>
        </is>
      </c>
      <c r="K71" s="31" t="inlineStr">
        <is>
          <t>P0</t>
        </is>
      </c>
      <c r="L71" s="31" t="inlineStr">
        <is>
          <t>S</t>
        </is>
      </c>
      <c r="M71" s="30" t="inlineStr">
        <is>
          <t>قيد المراجعة</t>
        </is>
      </c>
      <c r="N71" s="30" t="inlineStr">
        <is>
          <t>Claude</t>
        </is>
      </c>
      <c r="O71" s="30" t="inlineStr">
        <is>
          <t>A-claude (منفّذ)</t>
        </is>
      </c>
      <c r="P71" s="43">
        <f>IFERROR(INDEX(WorkPackages!$H$5:$H$40,MATCH(B71,WorkPackages!$A$5:$A$40,0)),"")</f>
        <v/>
      </c>
      <c r="Q71" s="42" t="n"/>
      <c r="R71" s="42" t="n"/>
      <c r="S71" s="30" t="inlineStr">
        <is>
          <t>لا</t>
        </is>
      </c>
      <c r="T71" s="30" t="inlineStr">
        <is>
          <t>نفّذه Claude؛ أخطاء التعارض/عدم التوفّر من الباك اند تظهر داخل النافذة وتبقى مفتوحة — بانتظار validate</t>
        </is>
      </c>
      <c r="U71" s="31" t="inlineStr">
        <is>
          <t>لا</t>
        </is>
      </c>
      <c r="V71" s="31" t="inlineStr">
        <is>
          <t>منفّذ — قيد المراجعة</t>
        </is>
      </c>
      <c r="W71" s="31" t="n"/>
      <c r="X71" s="43">
        <f>IF(W71="","—",IFERROR(IF(INDEX(BackendChecklist!$H$5:$H$30,MATCH(W71,BackendChecklist!$A$5:$A$30,0))="نعم","جاهز للبدء",IF(V71="الآن (بنمط seam)","يبدأ بنمط seam — الربط ينتظر","ينتظر الباك اند")),"؟"))</f>
        <v/>
      </c>
    </row>
    <row r="72" ht="42" customHeight="1" s="26">
      <c r="A72" s="41" t="inlineStr">
        <is>
          <t>S3-04</t>
        </is>
      </c>
      <c r="B72" s="31" t="inlineStr">
        <is>
          <t>WP-S3</t>
        </is>
      </c>
      <c r="C72" s="43">
        <f>IFERROR(INDEX(WorkPackages!$C$5:$C$40,MATCH(B72,WorkPackages!$A$5:$A$40,0)),"")</f>
        <v/>
      </c>
      <c r="D72" s="31" t="inlineStr">
        <is>
          <t>FR-S15</t>
        </is>
      </c>
      <c r="E72" s="31" t="inlineStr">
        <is>
          <t>Test</t>
        </is>
      </c>
      <c r="F72" s="31" t="inlineStr">
        <is>
          <t>اختبارات التحقق</t>
        </is>
      </c>
      <c r="G72" s="31" t="inlineStr">
        <is>
          <t>التاريخ بالمستقبل + الوقت صالح.</t>
        </is>
      </c>
      <c r="H72" s="31" t="inlineStr">
        <is>
          <t>components/student/reschedule-dialog.test.ts</t>
        </is>
      </c>
      <c r="I72" s="31" t="inlineStr">
        <is>
          <t>—</t>
        </is>
      </c>
      <c r="J72" s="31" t="inlineStr">
        <is>
          <t>S3-01</t>
        </is>
      </c>
      <c r="K72" s="31" t="inlineStr">
        <is>
          <t>P1</t>
        </is>
      </c>
      <c r="L72" s="31" t="inlineStr">
        <is>
          <t>S</t>
        </is>
      </c>
      <c r="M72" s="30" t="inlineStr">
        <is>
          <t>قيد المراجعة</t>
        </is>
      </c>
      <c r="N72" s="30" t="inlineStr">
        <is>
          <t>Claude</t>
        </is>
      </c>
      <c r="O72" s="30" t="inlineStr">
        <is>
          <t>A-claude (منفّذ)</t>
        </is>
      </c>
      <c r="P72" s="43">
        <f>IFERROR(INDEX(WorkPackages!$H$5:$H$40,MATCH(B72,WorkPackages!$A$5:$A$40,0)),"")</f>
        <v/>
      </c>
      <c r="Q72" s="42" t="n"/>
      <c r="R72" s="42" t="n"/>
      <c r="S72" s="30" t="inlineStr">
        <is>
          <t>لا</t>
        </is>
      </c>
      <c r="T72" s="30" t="inlineStr">
        <is>
          <t>نفّذه Claude؛ reschedule-dialog.test.ts + lib/reschedule-validation.ts — بانتظار validate</t>
        </is>
      </c>
      <c r="U72" s="31" t="inlineStr">
        <is>
          <t>لا</t>
        </is>
      </c>
      <c r="V72" s="31" t="inlineStr">
        <is>
          <t>منفّذ — قيد المراجعة</t>
        </is>
      </c>
      <c r="W72" s="31" t="n"/>
      <c r="X72" s="43">
        <f>IF(W72="","—",IFERROR(IF(INDEX(BackendChecklist!$H$5:$H$30,MATCH(W72,BackendChecklist!$A$5:$A$30,0))="نعم","جاهز للبدء",IF(V72="الآن (بنمط seam)","يبدأ بنمط seam — الربط ينتظر","ينتظر الباك اند")),"؟"))</f>
        <v/>
      </c>
    </row>
    <row r="73" ht="42" customHeight="1" s="26">
      <c r="A73" s="41" t="inlineStr">
        <is>
          <t>S4-01</t>
        </is>
      </c>
      <c r="B73" s="31" t="inlineStr">
        <is>
          <t>WP-S4</t>
        </is>
      </c>
      <c r="C73" s="43">
        <f>IFERROR(INDEX(WorkPackages!$C$5:$C$40,MATCH(B73,WorkPackages!$A$5:$A$40,0)),"")</f>
        <v/>
      </c>
      <c r="D73" s="31" t="inlineStr">
        <is>
          <t>FR-T11</t>
        </is>
      </c>
      <c r="E73" s="31" t="inlineStr">
        <is>
          <t>UI</t>
        </is>
      </c>
      <c r="F73" s="31" t="inlineStr">
        <is>
          <t>نافذة التقييم</t>
        </is>
      </c>
      <c r="G73" s="31" t="inlineStr">
        <is>
          <t>StarRating 1..5 + مراجعة اختيارية → Booking/Rate {bookingId, ratingValue, review}.</t>
        </is>
      </c>
      <c r="H73" s="31" t="inlineStr">
        <is>
          <t>components/student/rate-booking-dialog.tsx</t>
        </is>
      </c>
      <c r="I73" s="31" t="inlineStr">
        <is>
          <t>Booking/Rate</t>
        </is>
      </c>
      <c r="J73" s="31" t="inlineStr">
        <is>
          <t>WP-00</t>
        </is>
      </c>
      <c r="K73" s="31" t="inlineStr">
        <is>
          <t>P0</t>
        </is>
      </c>
      <c r="L73" s="31" t="inlineStr">
        <is>
          <t>M</t>
        </is>
      </c>
      <c r="M73" s="30" t="inlineStr">
        <is>
          <t>قيد المراجعة</t>
        </is>
      </c>
      <c r="N73" s="30" t="inlineStr">
        <is>
          <t>Claude</t>
        </is>
      </c>
      <c r="O73" s="30" t="inlineStr">
        <is>
          <t>A-claude (منفّذ)</t>
        </is>
      </c>
      <c r="P73" s="43">
        <f>IFERROR(INDEX(WorkPackages!$H$5:$H$40,MATCH(B73,WorkPackages!$A$5:$A$40,0)),"")</f>
        <v/>
      </c>
      <c r="Q73" s="42" t="n"/>
      <c r="R73" s="42" t="n"/>
      <c r="S73" s="30" t="inlineStr">
        <is>
          <t>لا</t>
        </is>
      </c>
      <c r="T73" s="30" t="inlineStr">
        <is>
          <t>نفّذه Claude؛ rate-booking-dialog.tsx (Booking/Rate)؛ S4-02/S4-03 (إخفاء الزر + teacherId) مؤجَّلتان لـJ-02 — بانتظار validate</t>
        </is>
      </c>
      <c r="U73" s="31" t="inlineStr">
        <is>
          <t>لا</t>
        </is>
      </c>
      <c r="V73" s="31" t="inlineStr">
        <is>
          <t>منفّذ — قيد المراجعة</t>
        </is>
      </c>
      <c r="W73" s="31" t="n"/>
      <c r="X73" s="43">
        <f>IF(W73="","—",IFERROR(IF(INDEX(BackendChecklist!$H$5:$H$30,MATCH(W73,BackendChecklist!$A$5:$A$30,0))="نعم","جاهز للبدء",IF(V73="الآن (بنمط seam)","يبدأ بنمط seam — الربط ينتظر","ينتظر الباك اند")),"؟"))</f>
        <v/>
      </c>
    </row>
    <row r="74" ht="42" customHeight="1" s="26">
      <c r="A74" s="41" t="inlineStr">
        <is>
          <t>S4-02</t>
        </is>
      </c>
      <c r="B74" s="31" t="inlineStr">
        <is>
          <t>WP-S4</t>
        </is>
      </c>
      <c r="C74" s="43">
        <f>IFERROR(INDEX(WorkPackages!$C$5:$C$40,MATCH(B74,WorkPackages!$A$5:$A$40,0)),"")</f>
        <v/>
      </c>
      <c r="D74" s="31" t="inlineStr">
        <is>
          <t>FR-T11</t>
        </is>
      </c>
      <c r="E74" s="31" t="inlineStr">
        <is>
          <t>UI</t>
        </is>
      </c>
      <c r="F74" s="31" t="inlineStr">
        <is>
          <t>منع التقييم المكرر/غير المؤهل</t>
        </is>
      </c>
      <c r="G74" s="31" t="inlineStr">
        <is>
          <t>إخفاء الزر إن أمكن (حسب حقول GetBooking، Q-10) وإلا عرض رسالة الباك اند.</t>
        </is>
      </c>
      <c r="H74" s="31" t="inlineStr">
        <is>
          <t>components/student/rate-booking-dialog.tsx</t>
        </is>
      </c>
      <c r="I74" s="31" t="inlineStr">
        <is>
          <t>—</t>
        </is>
      </c>
      <c r="J74" s="31" t="inlineStr">
        <is>
          <t>S4-01</t>
        </is>
      </c>
      <c r="K74" s="31" t="inlineStr">
        <is>
          <t>P0</t>
        </is>
      </c>
      <c r="L74" s="31" t="inlineStr">
        <is>
          <t>S</t>
        </is>
      </c>
      <c r="M74" s="30" t="inlineStr">
        <is>
          <t>لم يبدأ</t>
        </is>
      </c>
      <c r="N74" s="30" t="n"/>
      <c r="O74" s="30" t="inlineStr">
        <is>
          <t>مرشّح للبدء الآن</t>
        </is>
      </c>
      <c r="P74" s="43">
        <f>IFERROR(INDEX(WorkPackages!$H$5:$H$40,MATCH(B74,WorkPackages!$A$5:$A$40,0)),"")</f>
        <v/>
      </c>
      <c r="Q74" s="42" t="n"/>
      <c r="R74" s="42" t="n"/>
      <c r="S74" s="30" t="inlineStr">
        <is>
          <t>لا</t>
        </is>
      </c>
      <c r="T74" s="30" t="n"/>
      <c r="U74" s="31" t="inlineStr">
        <is>
          <t>نعم</t>
        </is>
      </c>
      <c r="V74" s="31" t="inlineStr">
        <is>
          <t>بعد JSON</t>
        </is>
      </c>
      <c r="W74" s="31" t="inlineStr">
        <is>
          <t>NE-02</t>
        </is>
      </c>
      <c r="X74" s="43">
        <f>IF(W74="","—",IFERROR(IF(INDEX(BackendChecklist!$H$5:$H$30,MATCH(W74,BackendChecklist!$A$5:$A$30,0))="نعم","جاهز للبدء",IF(V74="الآن (بنمط seam)","يبدأ بنمط seam — الربط ينتظر","ينتظر الباك اند")),"؟"))</f>
        <v/>
      </c>
    </row>
    <row r="75" ht="42" customHeight="1" s="26">
      <c r="A75" s="41" t="inlineStr">
        <is>
          <t>S4-03</t>
        </is>
      </c>
      <c r="B75" s="31" t="inlineStr">
        <is>
          <t>WP-S4</t>
        </is>
      </c>
      <c r="C75" s="43">
        <f>IFERROR(INDEX(WorkPackages!$C$5:$C$40,MATCH(B75,WorkPackages!$A$5:$A$40,0)),"")</f>
        <v/>
      </c>
      <c r="D75" s="31" t="inlineStr">
        <is>
          <t>FR-T11</t>
        </is>
      </c>
      <c r="E75" s="31" t="inlineStr">
        <is>
          <t>UI</t>
        </is>
      </c>
      <c r="F75" s="31" t="inlineStr">
        <is>
          <t>تحديث الكاشات بعد التقييم</t>
        </is>
      </c>
      <c r="G75" s="31" t="inlineStr">
        <is>
          <t>invalidate: ["student-booking", id], ["backend-teacher-profile", teacherId].</t>
        </is>
      </c>
      <c r="H75" s="31" t="inlineStr">
        <is>
          <t>components/student/rate-booking-dialog.tsx</t>
        </is>
      </c>
      <c r="I75" s="31" t="inlineStr">
        <is>
          <t>—</t>
        </is>
      </c>
      <c r="J75" s="31" t="inlineStr">
        <is>
          <t>S4-01</t>
        </is>
      </c>
      <c r="K75" s="31" t="inlineStr">
        <is>
          <t>P1</t>
        </is>
      </c>
      <c r="L75" s="31" t="inlineStr">
        <is>
          <t>S</t>
        </is>
      </c>
      <c r="M75" s="30" t="inlineStr">
        <is>
          <t>لم يبدأ</t>
        </is>
      </c>
      <c r="N75" s="30" t="n"/>
      <c r="O75" s="30" t="inlineStr">
        <is>
          <t>مرشّح للبدء الآن</t>
        </is>
      </c>
      <c r="P75" s="43">
        <f>IFERROR(INDEX(WorkPackages!$H$5:$H$40,MATCH(B75,WorkPackages!$A$5:$A$40,0)),"")</f>
        <v/>
      </c>
      <c r="Q75" s="42" t="n"/>
      <c r="R75" s="42" t="n"/>
      <c r="S75" s="30" t="inlineStr">
        <is>
          <t>لا</t>
        </is>
      </c>
      <c r="T75" s="30" t="n"/>
      <c r="U75" s="31" t="inlineStr">
        <is>
          <t>نعم</t>
        </is>
      </c>
      <c r="V75" s="31" t="inlineStr">
        <is>
          <t>بعد JSON</t>
        </is>
      </c>
      <c r="W75" s="31" t="inlineStr">
        <is>
          <t>NE-02</t>
        </is>
      </c>
      <c r="X75" s="43">
        <f>IF(W75="","—",IFERROR(IF(INDEX(BackendChecklist!$H$5:$H$30,MATCH(W75,BackendChecklist!$A$5:$A$30,0))="نعم","جاهز للبدء",IF(V75="الآن (بنمط seam)","يبدأ بنمط seam — الربط ينتظر","ينتظر الباك اند")),"؟"))</f>
        <v/>
      </c>
    </row>
    <row r="76" ht="42" customHeight="1" s="26">
      <c r="A76" s="41" t="inlineStr">
        <is>
          <t>S4-04</t>
        </is>
      </c>
      <c r="B76" s="31" t="inlineStr">
        <is>
          <t>WP-S4</t>
        </is>
      </c>
      <c r="C76" s="43">
        <f>IFERROR(INDEX(WorkPackages!$C$5:$C$40,MATCH(B76,WorkPackages!$A$5:$A$40,0)),"")</f>
        <v/>
      </c>
      <c r="D76" s="31" t="inlineStr">
        <is>
          <t>FR-T11</t>
        </is>
      </c>
      <c r="E76" s="31" t="inlineStr">
        <is>
          <t>Test</t>
        </is>
      </c>
      <c r="F76" s="31" t="inlineStr">
        <is>
          <t>اختبارات</t>
        </is>
      </c>
      <c r="G76" s="31" t="inlineStr">
        <is>
          <t>حدود النجوم ومنطق الأهلية.</t>
        </is>
      </c>
      <c r="H76" s="31" t="inlineStr">
        <is>
          <t>components/student/rate-booking-dialog.test.ts</t>
        </is>
      </c>
      <c r="I76" s="31" t="inlineStr">
        <is>
          <t>—</t>
        </is>
      </c>
      <c r="J76" s="31" t="inlineStr">
        <is>
          <t>S4-01</t>
        </is>
      </c>
      <c r="K76" s="31" t="inlineStr">
        <is>
          <t>P1</t>
        </is>
      </c>
      <c r="L76" s="31" t="inlineStr">
        <is>
          <t>S</t>
        </is>
      </c>
      <c r="M76" s="30" t="inlineStr">
        <is>
          <t>قيد المراجعة</t>
        </is>
      </c>
      <c r="N76" s="30" t="inlineStr">
        <is>
          <t>Claude</t>
        </is>
      </c>
      <c r="O76" s="30" t="inlineStr">
        <is>
          <t>A-claude (منفّذ)</t>
        </is>
      </c>
      <c r="P76" s="43">
        <f>IFERROR(INDEX(WorkPackages!$H$5:$H$40,MATCH(B76,WorkPackages!$A$5:$A$40,0)),"")</f>
        <v/>
      </c>
      <c r="Q76" s="42" t="n"/>
      <c r="R76" s="42" t="n"/>
      <c r="S76" s="30" t="inlineStr">
        <is>
          <t>لا</t>
        </is>
      </c>
      <c r="T76" s="30" t="inlineStr">
        <is>
          <t>نفّذه Claude؛ rate-booking-dialog.test.ts + lib/rating.ts (ملف جديد) — بانتظار validate</t>
        </is>
      </c>
      <c r="U76" s="31" t="inlineStr">
        <is>
          <t>لا</t>
        </is>
      </c>
      <c r="V76" s="31" t="inlineStr">
        <is>
          <t>منفّذ — قيد المراجعة</t>
        </is>
      </c>
      <c r="W76" s="31" t="n"/>
      <c r="X76" s="43">
        <f>IF(W76="","—",IFERROR(IF(INDEX(BackendChecklist!$H$5:$H$30,MATCH(W76,BackendChecklist!$A$5:$A$30,0))="نعم","جاهز للبدء",IF(V76="الآن (بنمط seam)","يبدأ بنمط seam — الربط ينتظر","ينتظر الباك اند")),"؟"))</f>
        <v/>
      </c>
    </row>
    <row r="77" ht="42" customHeight="1" s="26">
      <c r="A77" s="41" t="inlineStr">
        <is>
          <t>S5-01</t>
        </is>
      </c>
      <c r="B77" s="31" t="inlineStr">
        <is>
          <t>WP-S5</t>
        </is>
      </c>
      <c r="C77" s="43">
        <f>IFERROR(INDEX(WorkPackages!$C$5:$C$40,MATCH(B77,WorkPackages!$A$5:$A$40,0)),"")</f>
        <v/>
      </c>
      <c r="D77" s="31" t="inlineStr">
        <is>
          <t>FR-S06</t>
        </is>
      </c>
      <c r="E77" s="31" t="inlineStr">
        <is>
          <t>UI</t>
        </is>
      </c>
      <c r="F77" s="31" t="inlineStr">
        <is>
          <t>تفاصيل درس حضوري</t>
        </is>
      </c>
      <c r="G77" s="31" t="inlineStr">
        <is>
          <t>رقم الدرس، الموضوع، التاريخ، اليوم، وقت البدء، المدة، المعلم، الكورس/المجموعة، القاعة أو «الموقع غير متوفر».</t>
        </is>
      </c>
      <c r="H77" s="31" t="inlineStr">
        <is>
          <t>routes/_authenticated/lesson.$id.tsx</t>
        </is>
      </c>
      <c r="I77" s="31" t="inlineStr">
        <is>
          <t>Student/GetLesson</t>
        </is>
      </c>
      <c r="J77" s="31" t="inlineStr">
        <is>
          <t>WP-00</t>
        </is>
      </c>
      <c r="K77" s="31" t="inlineStr">
        <is>
          <t>P0</t>
        </is>
      </c>
      <c r="L77" s="31" t="inlineStr">
        <is>
          <t>M</t>
        </is>
      </c>
      <c r="M77" s="30" t="inlineStr">
        <is>
          <t>لم يبدأ</t>
        </is>
      </c>
      <c r="N77" s="30" t="n"/>
      <c r="O77" s="30" t="n"/>
      <c r="P77" s="43">
        <f>IFERROR(INDEX(WorkPackages!$H$5:$H$40,MATCH(B77,WorkPackages!$A$5:$A$40,0)),"")</f>
        <v/>
      </c>
      <c r="Q77" s="42" t="n"/>
      <c r="R77" s="42" t="n"/>
      <c r="S77" s="30" t="inlineStr">
        <is>
          <t>لا</t>
        </is>
      </c>
      <c r="T77" s="30" t="n"/>
      <c r="U77" s="31" t="inlineStr">
        <is>
          <t>نعم</t>
        </is>
      </c>
      <c r="V77" s="31" t="inlineStr">
        <is>
          <t>بعد JSON</t>
        </is>
      </c>
      <c r="W77" s="31" t="inlineStr">
        <is>
          <t>NE-05</t>
        </is>
      </c>
      <c r="X77" s="43">
        <f>IF(W77="","—",IFERROR(IF(INDEX(BackendChecklist!$H$5:$H$30,MATCH(W77,BackendChecklist!$A$5:$A$30,0))="نعم","جاهز للبدء",IF(V77="الآن (بنمط seam)","يبدأ بنمط seam — الربط ينتظر","ينتظر الباك اند")),"؟"))</f>
        <v/>
      </c>
    </row>
    <row r="78" ht="42" customHeight="1" s="26">
      <c r="A78" s="41" t="inlineStr">
        <is>
          <t>S5-02</t>
        </is>
      </c>
      <c r="B78" s="31" t="inlineStr">
        <is>
          <t>WP-S5</t>
        </is>
      </c>
      <c r="C78" s="43">
        <f>IFERROR(INDEX(WorkPackages!$C$5:$C$40,MATCH(B78,WorkPackages!$A$5:$A$40,0)),"")</f>
        <v/>
      </c>
      <c r="D78" s="31" t="inlineStr">
        <is>
          <t>FR-S07</t>
        </is>
      </c>
      <c r="E78" s="31" t="inlineStr">
        <is>
          <t>UI</t>
        </is>
      </c>
      <c r="F78" s="31" t="inlineStr">
        <is>
          <t>تفاصيل درس أونلاين</t>
        </is>
      </c>
      <c r="G78" s="31" t="inlineStr">
        <is>
          <t>المنصة + رابط الاجتماع. زر «انضمام» فقط إن canJoin وكان الرابط http/https صالحًا (rel=noopener noreferrer)؛ وإلا تفاصيل بلا زر.</t>
        </is>
      </c>
      <c r="H78" s="31" t="inlineStr">
        <is>
          <t>routes/_authenticated/lesson.$id.tsx</t>
        </is>
      </c>
      <c r="I78" s="31" t="inlineStr">
        <is>
          <t>Student/GetLesson</t>
        </is>
      </c>
      <c r="J78" s="31" t="inlineStr">
        <is>
          <t>S5-01</t>
        </is>
      </c>
      <c r="K78" s="31" t="inlineStr">
        <is>
          <t>P0</t>
        </is>
      </c>
      <c r="L78" s="31" t="inlineStr">
        <is>
          <t>M</t>
        </is>
      </c>
      <c r="M78" s="30" t="inlineStr">
        <is>
          <t>لم يبدأ</t>
        </is>
      </c>
      <c r="N78" s="30" t="n"/>
      <c r="O78" s="30" t="n"/>
      <c r="P78" s="43">
        <f>IFERROR(INDEX(WorkPackages!$H$5:$H$40,MATCH(B78,WorkPackages!$A$5:$A$40,0)),"")</f>
        <v/>
      </c>
      <c r="Q78" s="42" t="n"/>
      <c r="R78" s="42" t="n"/>
      <c r="S78" s="30" t="inlineStr">
        <is>
          <t>لا</t>
        </is>
      </c>
      <c r="T78" s="30" t="n"/>
      <c r="U78" s="31" t="inlineStr">
        <is>
          <t>نعم</t>
        </is>
      </c>
      <c r="V78" s="31" t="inlineStr">
        <is>
          <t>بعد JSON</t>
        </is>
      </c>
      <c r="W78" s="31" t="inlineStr">
        <is>
          <t>NE-05</t>
        </is>
      </c>
      <c r="X78" s="43">
        <f>IF(W78="","—",IFERROR(IF(INDEX(BackendChecklist!$H$5:$H$30,MATCH(W78,BackendChecklist!$A$5:$A$30,0))="نعم","جاهز للبدء",IF(V78="الآن (بنمط seam)","يبدأ بنمط seam — الربط ينتظر","ينتظر الباك اند")),"؟"))</f>
        <v/>
      </c>
    </row>
    <row r="79" ht="42" customHeight="1" s="26">
      <c r="A79" s="41" t="inlineStr">
        <is>
          <t>S5-03</t>
        </is>
      </c>
      <c r="B79" s="31" t="inlineStr">
        <is>
          <t>WP-S5</t>
        </is>
      </c>
      <c r="C79" s="43">
        <f>IFERROR(INDEX(WorkPackages!$C$5:$C$40,MATCH(B79,WorkPackages!$A$5:$A$40,0)),"")</f>
        <v/>
      </c>
      <c r="D79" s="31" t="inlineStr">
        <is>
          <t>FR-S06</t>
        </is>
      </c>
      <c r="E79" s="31" t="inlineStr">
        <is>
          <t>UI</t>
        </is>
      </c>
      <c r="F79" s="31" t="inlineStr">
        <is>
          <t>معالجة الوصول المرفوض</t>
        </is>
      </c>
      <c r="G79" s="31" t="inlineStr">
        <is>
          <t>403/404 → رسالة «غير مصرّح لك بهذا الدرس».</t>
        </is>
      </c>
      <c r="H79" s="31" t="inlineStr">
        <is>
          <t>routes/_authenticated/lesson.$id.tsx</t>
        </is>
      </c>
      <c r="I79" s="31" t="inlineStr">
        <is>
          <t>—</t>
        </is>
      </c>
      <c r="J79" s="31" t="inlineStr">
        <is>
          <t>S5-01</t>
        </is>
      </c>
      <c r="K79" s="31" t="inlineStr">
        <is>
          <t>P0</t>
        </is>
      </c>
      <c r="L79" s="31" t="inlineStr">
        <is>
          <t>S</t>
        </is>
      </c>
      <c r="M79" s="30" t="inlineStr">
        <is>
          <t>لم يبدأ</t>
        </is>
      </c>
      <c r="N79" s="30" t="n"/>
      <c r="O79" s="30" t="n"/>
      <c r="P79" s="43">
        <f>IFERROR(INDEX(WorkPackages!$H$5:$H$40,MATCH(B79,WorkPackages!$A$5:$A$40,0)),"")</f>
        <v/>
      </c>
      <c r="Q79" s="42" t="n"/>
      <c r="R79" s="42" t="n"/>
      <c r="S79" s="30" t="inlineStr">
        <is>
          <t>لا</t>
        </is>
      </c>
      <c r="T79" s="30" t="n"/>
      <c r="U79" s="31" t="inlineStr">
        <is>
          <t>نعم</t>
        </is>
      </c>
      <c r="V79" s="31" t="inlineStr">
        <is>
          <t>بعد JSON</t>
        </is>
      </c>
      <c r="W79" s="31" t="inlineStr">
        <is>
          <t>NE-05</t>
        </is>
      </c>
      <c r="X79" s="43">
        <f>IF(W79="","—",IFERROR(IF(INDEX(BackendChecklist!$H$5:$H$30,MATCH(W79,BackendChecklist!$A$5:$A$30,0))="نعم","جاهز للبدء",IF(V79="الآن (بنمط seam)","يبدأ بنمط seam — الربط ينتظر","ينتظر الباك اند")),"؟"))</f>
        <v/>
      </c>
    </row>
    <row r="80" ht="42" customHeight="1" s="26">
      <c r="A80" s="41" t="inlineStr">
        <is>
          <t>S5-04</t>
        </is>
      </c>
      <c r="B80" s="31" t="inlineStr">
        <is>
          <t>WP-S5</t>
        </is>
      </c>
      <c r="C80" s="43">
        <f>IFERROR(INDEX(WorkPackages!$C$5:$C$40,MATCH(B80,WorkPackages!$A$5:$A$40,0)),"")</f>
        <v/>
      </c>
      <c r="D80" s="31" t="inlineStr">
        <is>
          <t>FR-S06</t>
        </is>
      </c>
      <c r="E80" s="31" t="inlineStr">
        <is>
          <t>UI</t>
        </is>
      </c>
      <c r="F80" s="31" t="inlineStr">
        <is>
          <t>تحسين صفحة الجدول</t>
        </is>
      </c>
      <c r="G80" s="31" t="inlineStr">
        <is>
          <t>أعمدة: النوع (حضوري/أونلاين)، القاعة أو المنصة، اليوم، زر انضمام؛ صف الدرس يربط إلى /lesson/$id وصف الحجز إلى /booking/$id.</t>
        </is>
      </c>
      <c r="H80" s="31" t="inlineStr">
        <is>
          <t>routes/_authenticated/schedule.tsx</t>
        </is>
      </c>
      <c r="I80" s="31" t="inlineStr">
        <is>
          <t>Student/Schedule</t>
        </is>
      </c>
      <c r="J80" s="31" t="inlineStr">
        <is>
          <t>S5-01</t>
        </is>
      </c>
      <c r="K80" s="31" t="inlineStr">
        <is>
          <t>P0</t>
        </is>
      </c>
      <c r="L80" s="31" t="inlineStr">
        <is>
          <t>M</t>
        </is>
      </c>
      <c r="M80" s="30" t="inlineStr">
        <is>
          <t>قيد المراجعة</t>
        </is>
      </c>
      <c r="N80" s="30" t="inlineStr">
        <is>
          <t>Claude</t>
        </is>
      </c>
      <c r="O80" s="30" t="inlineStr">
        <is>
          <t>A-claude (منفّذ)</t>
        </is>
      </c>
      <c r="P80" s="43">
        <f>IFERROR(INDEX(WorkPackages!$H$5:$H$40,MATCH(B80,WorkPackages!$A$5:$A$40,0)),"")</f>
        <v/>
      </c>
      <c r="Q80" s="42" t="n"/>
      <c r="R80" s="42" t="n"/>
      <c r="S80" s="30" t="inlineStr">
        <is>
          <t>لا</t>
        </is>
      </c>
      <c r="T80" s="30" t="inlineStr">
        <is>
          <t>نفّذه Claude؛ schedule.tsx: أعمدة النوع/اليوم/القاعة-المنصة + زر انضمام آمن + روابط التفاصيل — بانتظار validate</t>
        </is>
      </c>
      <c r="U80" s="31" t="inlineStr">
        <is>
          <t>لا</t>
        </is>
      </c>
      <c r="V80" s="31" t="inlineStr">
        <is>
          <t>منفّذ — قيد المراجعة</t>
        </is>
      </c>
      <c r="W80" s="31" t="n"/>
      <c r="X80" s="43">
        <f>IF(W80="","—",IFERROR(IF(INDEX(BackendChecklist!$H$5:$H$30,MATCH(W80,BackendChecklist!$A$5:$A$30,0))="نعم","جاهز للبدء",IF(V80="الآن (بنمط seam)","يبدأ بنمط seam — الربط ينتظر","ينتظر الباك اند")),"؟"))</f>
        <v/>
      </c>
    </row>
    <row r="81" ht="42" customHeight="1" s="26">
      <c r="A81" s="41" t="inlineStr">
        <is>
          <t>S5-05</t>
        </is>
      </c>
      <c r="B81" s="31" t="inlineStr">
        <is>
          <t>WP-S5</t>
        </is>
      </c>
      <c r="C81" s="43">
        <f>IFERROR(INDEX(WorkPackages!$C$5:$C$40,MATCH(B81,WorkPackages!$A$5:$A$40,0)),"")</f>
        <v/>
      </c>
      <c r="D81" s="31" t="inlineStr">
        <is>
          <t>FR-S07</t>
        </is>
      </c>
      <c r="E81" s="31" t="inlineStr">
        <is>
          <t>UI</t>
        </is>
      </c>
      <c r="F81" s="31" t="inlineStr">
        <is>
          <t>فلاتر الجدول (اختياري)</t>
        </is>
      </c>
      <c r="G81" s="31" t="inlineStr">
        <is>
          <t>المدى الزمني/الكورس/المعلم/الوضع عبر filter الموجود في getStudentSchedule.</t>
        </is>
      </c>
      <c r="H81" s="31" t="inlineStr">
        <is>
          <t>routes/_authenticated/schedule.tsx</t>
        </is>
      </c>
      <c r="I81" s="31" t="inlineStr">
        <is>
          <t>Student/Schedule</t>
        </is>
      </c>
      <c r="J81" s="31" t="inlineStr">
        <is>
          <t>S5-04</t>
        </is>
      </c>
      <c r="K81" s="31" t="inlineStr">
        <is>
          <t>P2</t>
        </is>
      </c>
      <c r="L81" s="31" t="inlineStr">
        <is>
          <t>S</t>
        </is>
      </c>
      <c r="M81" s="30" t="inlineStr">
        <is>
          <t>قيد المراجعة</t>
        </is>
      </c>
      <c r="N81" s="30" t="inlineStr">
        <is>
          <t>Claude</t>
        </is>
      </c>
      <c r="O81" s="30" t="inlineStr">
        <is>
          <t>A-claude (منفّذ)</t>
        </is>
      </c>
      <c r="P81" s="43">
        <f>IFERROR(INDEX(WorkPackages!$H$5:$H$40,MATCH(B81,WorkPackages!$A$5:$A$40,0)),"")</f>
        <v/>
      </c>
      <c r="Q81" s="42" t="n"/>
      <c r="R81" s="42" t="n"/>
      <c r="S81" s="30" t="inlineStr">
        <is>
          <t>لا</t>
        </is>
      </c>
      <c r="T81" s="30" t="inlineStr">
        <is>
          <t>نفّذه Claude؛ فلاتر مدى زمني + نوع الحصة (placeholderData يحفظ النتائج) — بانتظار validate</t>
        </is>
      </c>
      <c r="U81" s="31" t="inlineStr">
        <is>
          <t>لا</t>
        </is>
      </c>
      <c r="V81" s="31" t="inlineStr">
        <is>
          <t>منفّذ — قيد المراجعة</t>
        </is>
      </c>
      <c r="W81" s="31" t="n"/>
      <c r="X81" s="43">
        <f>IF(W81="","—",IFERROR(IF(INDEX(BackendChecklist!$H$5:$H$30,MATCH(W81,BackendChecklist!$A$5:$A$30,0))="نعم","جاهز للبدء",IF(V81="الآن (بنمط seam)","يبدأ بنمط seam — الربط ينتظر","ينتظر الباك اند")),"؟"))</f>
        <v/>
      </c>
    </row>
    <row r="82" ht="42" customHeight="1" s="26">
      <c r="A82" s="41" t="inlineStr">
        <is>
          <t>S5-06</t>
        </is>
      </c>
      <c r="B82" s="31" t="inlineStr">
        <is>
          <t>WP-S5</t>
        </is>
      </c>
      <c r="C82" s="43">
        <f>IFERROR(INDEX(WorkPackages!$C$5:$C$40,MATCH(B82,WorkPackages!$A$5:$A$40,0)),"")</f>
        <v/>
      </c>
      <c r="D82" s="31" t="inlineStr">
        <is>
          <t>FR-S07</t>
        </is>
      </c>
      <c r="E82" s="31" t="inlineStr">
        <is>
          <t>Test</t>
        </is>
      </c>
      <c r="F82" s="31" t="inlineStr">
        <is>
          <t>اختبارات الانضمام والتحقق من الرابط</t>
        </is>
      </c>
      <c r="G82" s="31" t="inlineStr">
        <is>
          <t>حالات canJoin و isHttpUrl.</t>
        </is>
      </c>
      <c r="H82" s="31" t="inlineStr">
        <is>
          <t>test-units/lesson.$id.test.ts</t>
        </is>
      </c>
      <c r="I82" s="31" t="inlineStr">
        <is>
          <t>—</t>
        </is>
      </c>
      <c r="J82" s="31" t="inlineStr">
        <is>
          <t>S5-02</t>
        </is>
      </c>
      <c r="K82" s="31" t="inlineStr">
        <is>
          <t>P1</t>
        </is>
      </c>
      <c r="L82" s="31" t="inlineStr">
        <is>
          <t>S</t>
        </is>
      </c>
      <c r="M82" s="30" t="inlineStr">
        <is>
          <t>قيد المراجعة</t>
        </is>
      </c>
      <c r="N82" s="30" t="inlineStr">
        <is>
          <t>Claude</t>
        </is>
      </c>
      <c r="O82" s="30" t="inlineStr">
        <is>
          <t>A-claude (منفّذ)</t>
        </is>
      </c>
      <c r="P82" s="43">
        <f>IFERROR(INDEX(WorkPackages!$H$5:$H$40,MATCH(B82,WorkPackages!$A$5:$A$40,0)),"")</f>
        <v/>
      </c>
      <c r="Q82" s="42" t="n"/>
      <c r="R82" s="42" t="n"/>
      <c r="S82" s="30" t="inlineStr">
        <is>
          <t>لا</t>
        </is>
      </c>
      <c r="T82" s="30" t="inlineStr">
        <is>
          <t>نفّذه Claude؛ src/test-units/lesson.$id.test.ts + lib/schedule-join.ts (joinHref/locationLabel/detailTarget) — بانتظار validate</t>
        </is>
      </c>
      <c r="U82" s="31" t="inlineStr">
        <is>
          <t>لا</t>
        </is>
      </c>
      <c r="V82" s="31" t="inlineStr">
        <is>
          <t>منفّذ — قيد المراجعة</t>
        </is>
      </c>
      <c r="W82" s="31" t="n"/>
      <c r="X82" s="43">
        <f>IF(W82="","—",IFERROR(IF(INDEX(BackendChecklist!$H$5:$H$30,MATCH(W82,BackendChecklist!$A$5:$A$30,0))="نعم","جاهز للبدء",IF(V82="الآن (بنمط seam)","يبدأ بنمط seam — الربط ينتظر","ينتظر الباك اند")),"؟"))</f>
        <v/>
      </c>
    </row>
    <row r="83" ht="42" customHeight="1" s="26">
      <c r="A83" s="41" t="inlineStr">
        <is>
          <t>S6-01</t>
        </is>
      </c>
      <c r="B83" s="31" t="inlineStr">
        <is>
          <t>WP-S6</t>
        </is>
      </c>
      <c r="C83" s="43">
        <f>IFERROR(INDEX(WorkPackages!$C$5:$C$40,MATCH(B83,WorkPackages!$A$5:$A$40,0)),"")</f>
        <v/>
      </c>
      <c r="D83" s="31" t="inlineStr">
        <is>
          <t>FR-S08</t>
        </is>
      </c>
      <c r="E83" s="31" t="inlineStr">
        <is>
          <t>UI</t>
        </is>
      </c>
      <c r="F83" s="31" t="inlineStr">
        <is>
          <t>صفحة تفاصيل الكورس المسجَّل</t>
        </is>
      </c>
      <c r="G83" s="31" t="inlineStr">
        <is>
          <t>Student/GetCourse: معلومات الكورس + المجموعة + جدول الدروس (رقم، موضوع، تاريخ، يوم، وقت، مدة، قاعة/رابط) بقراءة فقط.</t>
        </is>
      </c>
      <c r="H83" s="31" t="inlineStr">
        <is>
          <t>routes/_authenticated/enrolled-course.$id.tsx</t>
        </is>
      </c>
      <c r="I83" s="31" t="inlineStr">
        <is>
          <t>Student/GetCourse</t>
        </is>
      </c>
      <c r="J83" s="31" t="inlineStr">
        <is>
          <t>WP-00</t>
        </is>
      </c>
      <c r="K83" s="31" t="inlineStr">
        <is>
          <t>P0</t>
        </is>
      </c>
      <c r="L83" s="31" t="inlineStr">
        <is>
          <t>M</t>
        </is>
      </c>
      <c r="M83" s="30" t="inlineStr">
        <is>
          <t>لم يبدأ</t>
        </is>
      </c>
      <c r="N83" s="30" t="n"/>
      <c r="O83" s="30" t="n"/>
      <c r="P83" s="43">
        <f>IFERROR(INDEX(WorkPackages!$H$5:$H$40,MATCH(B83,WorkPackages!$A$5:$A$40,0)),"")</f>
        <v/>
      </c>
      <c r="Q83" s="42" t="n"/>
      <c r="R83" s="42" t="n"/>
      <c r="S83" s="30" t="inlineStr">
        <is>
          <t>لا</t>
        </is>
      </c>
      <c r="T83" s="30" t="n"/>
      <c r="U83" s="31" t="inlineStr">
        <is>
          <t>نعم</t>
        </is>
      </c>
      <c r="V83" s="31" t="inlineStr">
        <is>
          <t>بعد JSON</t>
        </is>
      </c>
      <c r="W83" s="31" t="inlineStr">
        <is>
          <t>NE-06</t>
        </is>
      </c>
      <c r="X83" s="43">
        <f>IF(W83="","—",IFERROR(IF(INDEX(BackendChecklist!$H$5:$H$30,MATCH(W83,BackendChecklist!$A$5:$A$30,0))="نعم","جاهز للبدء",IF(V83="الآن (بنمط seam)","يبدأ بنمط seam — الربط ينتظر","ينتظر الباك اند")),"؟"))</f>
        <v/>
      </c>
    </row>
    <row r="84" ht="42" customHeight="1" s="26">
      <c r="A84" s="41" t="inlineStr">
        <is>
          <t>S6-02</t>
        </is>
      </c>
      <c r="B84" s="31" t="inlineStr">
        <is>
          <t>WP-S6</t>
        </is>
      </c>
      <c r="C84" s="43">
        <f>IFERROR(INDEX(WorkPackages!$C$5:$C$40,MATCH(B84,WorkPackages!$A$5:$A$40,0)),"")</f>
        <v/>
      </c>
      <c r="D84" s="31" t="inlineStr">
        <is>
          <t>FR-S08</t>
        </is>
      </c>
      <c r="E84" s="31" t="inlineStr">
        <is>
          <t>UI</t>
        </is>
      </c>
      <c r="F84" s="31" t="inlineStr">
        <is>
          <t>لوحة «كورساتي المسجّلة» داخل كورساتي</t>
        </is>
      </c>
      <c r="G84" s="31" t="inlineStr">
        <is>
          <t>من activeCourses (getStudentDashboard) أو endpoint أدق حسب Q-05؛ رابط لكل كورس.</t>
        </is>
      </c>
      <c r="H84" s="31" t="inlineStr">
        <is>
          <t>components/student/my-courses/enrolled-courses-panel.tsx</t>
        </is>
      </c>
      <c r="I84" s="31" t="inlineStr">
        <is>
          <t>Student/Dashboard</t>
        </is>
      </c>
      <c r="J84" s="31" t="inlineStr">
        <is>
          <t>WP-00</t>
        </is>
      </c>
      <c r="K84" s="31" t="inlineStr">
        <is>
          <t>P0</t>
        </is>
      </c>
      <c r="L84" s="31" t="inlineStr">
        <is>
          <t>S</t>
        </is>
      </c>
      <c r="M84" s="30" t="inlineStr">
        <is>
          <t>قيد المراجعة</t>
        </is>
      </c>
      <c r="N84" s="30" t="inlineStr">
        <is>
          <t>Claude</t>
        </is>
      </c>
      <c r="O84" s="30" t="inlineStr">
        <is>
          <t>A-claude (منفّذ)</t>
        </is>
      </c>
      <c r="P84" s="43">
        <f>IFERROR(INDEX(WorkPackages!$H$5:$H$40,MATCH(B84,WorkPackages!$A$5:$A$40,0)),"")</f>
        <v/>
      </c>
      <c r="Q84" s="42" t="n"/>
      <c r="R84" s="42" t="n"/>
      <c r="S84" s="30" t="inlineStr">
        <is>
          <t>لا</t>
        </is>
      </c>
      <c r="T84" s="30" t="inlineStr">
        <is>
          <t>نفّذه Claude؛ enrolled-courses-panel.tsx من activeCourses (رابط /enrolled-course/$id) — بانتظار validate</t>
        </is>
      </c>
      <c r="U84" s="31" t="inlineStr">
        <is>
          <t>لا</t>
        </is>
      </c>
      <c r="V84" s="31" t="inlineStr">
        <is>
          <t>منفّذ — قيد المراجعة</t>
        </is>
      </c>
      <c r="W84" s="31" t="n"/>
      <c r="X84" s="43">
        <f>IF(W84="","—",IFERROR(IF(INDEX(BackendChecklist!$H$5:$H$30,MATCH(W84,BackendChecklist!$A$5:$A$30,0))="نعم","جاهز للبدء",IF(V84="الآن (بنمط seam)","يبدأ بنمط seam — الربط ينتظر","ينتظر الباك اند")),"؟"))</f>
        <v/>
      </c>
    </row>
    <row r="85" ht="42" customHeight="1" s="26">
      <c r="A85" s="41" t="inlineStr">
        <is>
          <t>S6-03</t>
        </is>
      </c>
      <c r="B85" s="31" t="inlineStr">
        <is>
          <t>WP-S6</t>
        </is>
      </c>
      <c r="C85" s="43">
        <f>IFERROR(INDEX(WorkPackages!$C$5:$C$40,MATCH(B85,WorkPackages!$A$5:$A$40,0)),"")</f>
        <v/>
      </c>
      <c r="D85" s="31" t="inlineStr">
        <is>
          <t>FR-S08</t>
        </is>
      </c>
      <c r="E85" s="31" t="inlineStr">
        <is>
          <t>UI</t>
        </is>
      </c>
      <c r="F85" s="31" t="inlineStr">
        <is>
          <t>حالات فارغة/غير مسجَّل</t>
        </is>
      </c>
      <c r="G85" s="31" t="inlineStr">
        <is>
          <t>كورس بلا دروس → معلومات + رسالة فراغ؛ غير مسجَّل → وصول مرفوض.</t>
        </is>
      </c>
      <c r="H85" s="31" t="inlineStr">
        <is>
          <t>routes/_authenticated/enrolled-course.$id.tsx</t>
        </is>
      </c>
      <c r="I85" s="31" t="inlineStr">
        <is>
          <t>—</t>
        </is>
      </c>
      <c r="J85" s="31" t="inlineStr">
        <is>
          <t>S6-01</t>
        </is>
      </c>
      <c r="K85" s="31" t="inlineStr">
        <is>
          <t>P0</t>
        </is>
      </c>
      <c r="L85" s="31" t="inlineStr">
        <is>
          <t>S</t>
        </is>
      </c>
      <c r="M85" s="30" t="inlineStr">
        <is>
          <t>لم يبدأ</t>
        </is>
      </c>
      <c r="N85" s="30" t="n"/>
      <c r="O85" s="30" t="n"/>
      <c r="P85" s="43">
        <f>IFERROR(INDEX(WorkPackages!$H$5:$H$40,MATCH(B85,WorkPackages!$A$5:$A$40,0)),"")</f>
        <v/>
      </c>
      <c r="Q85" s="42" t="n"/>
      <c r="R85" s="42" t="n"/>
      <c r="S85" s="30" t="inlineStr">
        <is>
          <t>لا</t>
        </is>
      </c>
      <c r="T85" s="30" t="n"/>
      <c r="U85" s="31" t="inlineStr">
        <is>
          <t>نعم</t>
        </is>
      </c>
      <c r="V85" s="31" t="inlineStr">
        <is>
          <t>بعد JSON</t>
        </is>
      </c>
      <c r="W85" s="31" t="inlineStr">
        <is>
          <t>NE-06</t>
        </is>
      </c>
      <c r="X85" s="43">
        <f>IF(W85="","—",IFERROR(IF(INDEX(BackendChecklist!$H$5:$H$30,MATCH(W85,BackendChecklist!$A$5:$A$30,0))="نعم","جاهز للبدء",IF(V85="الآن (بنمط seam)","يبدأ بنمط seam — الربط ينتظر","ينتظر الباك اند")),"؟"))</f>
        <v/>
      </c>
    </row>
    <row r="86" ht="42" customHeight="1" s="26">
      <c r="A86" s="41" t="inlineStr">
        <is>
          <t>S6-04</t>
        </is>
      </c>
      <c r="B86" s="31" t="inlineStr">
        <is>
          <t>WP-S6</t>
        </is>
      </c>
      <c r="C86" s="43">
        <f>IFERROR(INDEX(WorkPackages!$C$5:$C$40,MATCH(B86,WorkPackages!$A$5:$A$40,0)),"")</f>
        <v/>
      </c>
      <c r="D86" s="31" t="inlineStr">
        <is>
          <t>FR-S08</t>
        </is>
      </c>
      <c r="E86" s="31" t="inlineStr">
        <is>
          <t>Test</t>
        </is>
      </c>
      <c r="F86" s="31" t="inlineStr">
        <is>
          <t>اختبارات</t>
        </is>
      </c>
      <c r="G86" s="31" t="inlineStr">
        <is>
          <t>منطق ترتيب الدروس/تجميعها.</t>
        </is>
      </c>
      <c r="H86" s="31" t="inlineStr">
        <is>
          <t>test-units/enrolled-course.$id.test.ts</t>
        </is>
      </c>
      <c r="I86" s="31" t="inlineStr">
        <is>
          <t>—</t>
        </is>
      </c>
      <c r="J86" s="31" t="inlineStr">
        <is>
          <t>S6-01</t>
        </is>
      </c>
      <c r="K86" s="31" t="inlineStr">
        <is>
          <t>P1</t>
        </is>
      </c>
      <c r="L86" s="31" t="inlineStr">
        <is>
          <t>S</t>
        </is>
      </c>
      <c r="M86" s="30" t="inlineStr">
        <is>
          <t>لم يبدأ</t>
        </is>
      </c>
      <c r="N86" s="30" t="n"/>
      <c r="O86" s="30" t="n"/>
      <c r="P86" s="43">
        <f>IFERROR(INDEX(WorkPackages!$H$5:$H$40,MATCH(B86,WorkPackages!$A$5:$A$40,0)),"")</f>
        <v/>
      </c>
      <c r="Q86" s="42" t="n"/>
      <c r="R86" s="42" t="n"/>
      <c r="S86" s="30" t="inlineStr">
        <is>
          <t>لا</t>
        </is>
      </c>
      <c r="T86" s="30" t="n"/>
      <c r="U86" s="31" t="inlineStr">
        <is>
          <t>نعم</t>
        </is>
      </c>
      <c r="V86" s="31" t="inlineStr">
        <is>
          <t>بعد JSON</t>
        </is>
      </c>
      <c r="W86" s="31" t="inlineStr">
        <is>
          <t>NE-06</t>
        </is>
      </c>
      <c r="X86" s="43">
        <f>IF(W86="","—",IFERROR(IF(INDEX(BackendChecklist!$H$5:$H$30,MATCH(W86,BackendChecklist!$A$5:$A$30,0))="نعم","جاهز للبدء",IF(V86="الآن (بنمط seam)","يبدأ بنمط seam — الربط ينتظر","ينتظر الباك اند")),"؟"))</f>
        <v/>
      </c>
    </row>
    <row r="87" ht="42" customHeight="1" s="26">
      <c r="A87" s="41" t="inlineStr">
        <is>
          <t>S7-01</t>
        </is>
      </c>
      <c r="B87" s="31" t="inlineStr">
        <is>
          <t>WP-S7</t>
        </is>
      </c>
      <c r="C87" s="43">
        <f>IFERROR(INDEX(WorkPackages!$C$5:$C$40,MATCH(B87,WorkPackages!$A$5:$A$40,0)),"")</f>
        <v/>
      </c>
      <c r="D87" s="31" t="inlineStr">
        <is>
          <t>FR-S09</t>
        </is>
      </c>
      <c r="E87" s="31" t="inlineStr">
        <is>
          <t>UI</t>
        </is>
      </c>
      <c r="F87" s="31" t="inlineStr">
        <is>
          <t>سجل الحضور</t>
        </is>
      </c>
      <c r="G87" s="31" t="inlineStr">
        <is>
          <t>جدول: الدرس/الكورس، التاريخ، الحالة (حاضر/غائب/متأخر/معذور) بشارات ملوّنة.</t>
        </is>
      </c>
      <c r="H87" s="31" t="inlineStr">
        <is>
          <t>routes/_authenticated/attendance.tsx</t>
        </is>
      </c>
      <c r="I87" s="31" t="inlineStr">
        <is>
          <t>Student/Attendance</t>
        </is>
      </c>
      <c r="J87" s="31" t="inlineStr">
        <is>
          <t>WP-00</t>
        </is>
      </c>
      <c r="K87" s="31" t="inlineStr">
        <is>
          <t>P0</t>
        </is>
      </c>
      <c r="L87" s="31" t="inlineStr">
        <is>
          <t>M</t>
        </is>
      </c>
      <c r="M87" s="30" t="inlineStr">
        <is>
          <t>لم يبدأ</t>
        </is>
      </c>
      <c r="N87" s="30" t="n"/>
      <c r="O87" s="30" t="n"/>
      <c r="P87" s="43">
        <f>IFERROR(INDEX(WorkPackages!$H$5:$H$40,MATCH(B87,WorkPackages!$A$5:$A$40,0)),"")</f>
        <v/>
      </c>
      <c r="Q87" s="42" t="n"/>
      <c r="R87" s="42" t="n"/>
      <c r="S87" s="30" t="inlineStr">
        <is>
          <t>لا</t>
        </is>
      </c>
      <c r="T87" s="30" t="n"/>
      <c r="U87" s="31" t="inlineStr">
        <is>
          <t>نعم</t>
        </is>
      </c>
      <c r="V87" s="31" t="inlineStr">
        <is>
          <t>بعد JSON</t>
        </is>
      </c>
      <c r="W87" s="31" t="inlineStr">
        <is>
          <t>NE-07</t>
        </is>
      </c>
      <c r="X87" s="43">
        <f>IF(W87="","—",IFERROR(IF(INDEX(BackendChecklist!$H$5:$H$30,MATCH(W87,BackendChecklist!$A$5:$A$30,0))="نعم","جاهز للبدء",IF(V87="الآن (بنمط seam)","يبدأ بنمط seam — الربط ينتظر","ينتظر الباك اند")),"؟"))</f>
        <v/>
      </c>
    </row>
    <row r="88" ht="42" customHeight="1" s="26">
      <c r="A88" s="41" t="inlineStr">
        <is>
          <t>S7-02</t>
        </is>
      </c>
      <c r="B88" s="31" t="inlineStr">
        <is>
          <t>WP-S7</t>
        </is>
      </c>
      <c r="C88" s="43">
        <f>IFERROR(INDEX(WorkPackages!$C$5:$C$40,MATCH(B88,WorkPackages!$A$5:$A$40,0)),"")</f>
        <v/>
      </c>
      <c r="D88" s="31" t="inlineStr">
        <is>
          <t>FR-S09</t>
        </is>
      </c>
      <c r="E88" s="31" t="inlineStr">
        <is>
          <t>UI</t>
        </is>
      </c>
      <c r="F88" s="31" t="inlineStr">
        <is>
          <t>نسبة الحضور</t>
        </is>
      </c>
      <c r="G88" s="31" t="inlineStr">
        <is>
          <t>تُعرض فقط عند توفر سجلات كافية؛ المصدر المفضّل ما يرجعه الباك اند (Q-05) أو Student/Progress. لا تحسب رقمًا مضللًا.</t>
        </is>
      </c>
      <c r="H88" s="31" t="inlineStr">
        <is>
          <t>routes/_authenticated/attendance.tsx</t>
        </is>
      </c>
      <c r="I88" s="31" t="inlineStr">
        <is>
          <t>Student/Attendance, Progress</t>
        </is>
      </c>
      <c r="J88" s="31" t="inlineStr">
        <is>
          <t>S7-01</t>
        </is>
      </c>
      <c r="K88" s="31" t="inlineStr">
        <is>
          <t>P0</t>
        </is>
      </c>
      <c r="L88" s="31" t="inlineStr">
        <is>
          <t>S</t>
        </is>
      </c>
      <c r="M88" s="30" t="inlineStr">
        <is>
          <t>قيد المراجعة</t>
        </is>
      </c>
      <c r="N88" s="30" t="inlineStr">
        <is>
          <t>Claude</t>
        </is>
      </c>
      <c r="O88" s="30" t="inlineStr">
        <is>
          <t>A-claude (منفّذ)</t>
        </is>
      </c>
      <c r="P88" s="43">
        <f>IFERROR(INDEX(WorkPackages!$H$5:$H$40,MATCH(B88,WorkPackages!$A$5:$A$40,0)),"")</f>
        <v/>
      </c>
      <c r="Q88" s="42" t="n"/>
      <c r="R88" s="42" t="n"/>
      <c r="S88" s="30" t="inlineStr">
        <is>
          <t>لا</t>
        </is>
      </c>
      <c r="T88" s="30" t="inlineStr">
        <is>
          <t>نفّذه Claude؛ attendance-rate-card.tsx يستخدم lib/progress.ts (WP-S9)؛ السجل التفصيلي S7-01 ينتظر JSON — بانتظار validate</t>
        </is>
      </c>
      <c r="U88" s="31" t="inlineStr">
        <is>
          <t>لا</t>
        </is>
      </c>
      <c r="V88" s="31" t="inlineStr">
        <is>
          <t>منفّذ — قيد المراجعة</t>
        </is>
      </c>
      <c r="W88" s="31" t="n"/>
      <c r="X88" s="43">
        <f>IF(W88="","—",IFERROR(IF(INDEX(BackendChecklist!$H$5:$H$30,MATCH(W88,BackendChecklist!$A$5:$A$30,0))="نعم","جاهز للبدء",IF(V88="الآن (بنمط seam)","يبدأ بنمط seam — الربط ينتظر","ينتظر الباك اند")),"؟"))</f>
        <v/>
      </c>
    </row>
    <row r="89" ht="42" customHeight="1" s="26">
      <c r="A89" s="41" t="inlineStr">
        <is>
          <t>S7-03</t>
        </is>
      </c>
      <c r="B89" s="31" t="inlineStr">
        <is>
          <t>WP-S7</t>
        </is>
      </c>
      <c r="C89" s="43">
        <f>IFERROR(INDEX(WorkPackages!$C$5:$C$40,MATCH(B89,WorkPackages!$A$5:$A$40,0)),"")</f>
        <v/>
      </c>
      <c r="D89" s="31" t="inlineStr">
        <is>
          <t>FR-S09</t>
        </is>
      </c>
      <c r="E89" s="31" t="inlineStr">
        <is>
          <t>UI</t>
        </is>
      </c>
      <c r="F89" s="31" t="inlineStr">
        <is>
          <t>فلاتر التاريخ والكورس</t>
        </is>
      </c>
      <c r="G89" s="31" t="inlineStr">
        <is>
          <t>from/to/courseId.</t>
        </is>
      </c>
      <c r="H89" s="31" t="inlineStr">
        <is>
          <t>routes/_authenticated/attendance.tsx</t>
        </is>
      </c>
      <c r="I89" s="31" t="inlineStr">
        <is>
          <t>Student/Attendance</t>
        </is>
      </c>
      <c r="J89" s="31" t="inlineStr">
        <is>
          <t>S7-01</t>
        </is>
      </c>
      <c r="K89" s="31" t="inlineStr">
        <is>
          <t>P1</t>
        </is>
      </c>
      <c r="L89" s="31" t="inlineStr">
        <is>
          <t>S</t>
        </is>
      </c>
      <c r="M89" s="30" t="inlineStr">
        <is>
          <t>لم يبدأ</t>
        </is>
      </c>
      <c r="N89" s="30" t="n"/>
      <c r="O89" s="30" t="inlineStr">
        <is>
          <t>مرشّح للبدء الآن</t>
        </is>
      </c>
      <c r="P89" s="43">
        <f>IFERROR(INDEX(WorkPackages!$H$5:$H$40,MATCH(B89,WorkPackages!$A$5:$A$40,0)),"")</f>
        <v/>
      </c>
      <c r="Q89" s="42" t="n"/>
      <c r="R89" s="42" t="n"/>
      <c r="S89" s="30" t="inlineStr">
        <is>
          <t>لا</t>
        </is>
      </c>
      <c r="T89" s="30" t="n"/>
      <c r="U89" s="31" t="inlineStr">
        <is>
          <t>نعم</t>
        </is>
      </c>
      <c r="V89" s="31" t="inlineStr">
        <is>
          <t>بعد JSON</t>
        </is>
      </c>
      <c r="W89" s="31" t="inlineStr">
        <is>
          <t>NE-07</t>
        </is>
      </c>
      <c r="X89" s="43">
        <f>IF(W89="","—",IFERROR(IF(INDEX(BackendChecklist!$H$5:$H$30,MATCH(W89,BackendChecklist!$A$5:$A$30,0))="نعم","جاهز للبدء",IF(V89="الآن (بنمط seam)","يبدأ بنمط seam — الربط ينتظر","ينتظر الباك اند")),"؟"))</f>
        <v/>
      </c>
    </row>
    <row r="90" ht="42" customHeight="1" s="26">
      <c r="A90" s="41" t="inlineStr">
        <is>
          <t>S7-04</t>
        </is>
      </c>
      <c r="B90" s="31" t="inlineStr">
        <is>
          <t>WP-S7</t>
        </is>
      </c>
      <c r="C90" s="43">
        <f>IFERROR(INDEX(WorkPackages!$C$5:$C$40,MATCH(B90,WorkPackages!$A$5:$A$40,0)),"")</f>
        <v/>
      </c>
      <c r="D90" s="31" t="inlineStr">
        <is>
          <t>FR-S09</t>
        </is>
      </c>
      <c r="E90" s="31" t="inlineStr">
        <is>
          <t>UI</t>
        </is>
      </c>
      <c r="F90" s="31" t="inlineStr">
        <is>
          <t>حالات فارغة/خطأ</t>
        </is>
      </c>
      <c r="G90" s="31" t="inlineStr">
        <is>
          <t>رسالة فراغ مناسبة + ErrorState مع إعادة المحاولة.</t>
        </is>
      </c>
      <c r="H90" s="31" t="inlineStr">
        <is>
          <t>routes/_authenticated/attendance.tsx</t>
        </is>
      </c>
      <c r="I90" s="31" t="inlineStr">
        <is>
          <t>—</t>
        </is>
      </c>
      <c r="J90" s="31" t="inlineStr">
        <is>
          <t>S7-01</t>
        </is>
      </c>
      <c r="K90" s="31" t="inlineStr">
        <is>
          <t>P0</t>
        </is>
      </c>
      <c r="L90" s="31" t="inlineStr">
        <is>
          <t>S</t>
        </is>
      </c>
      <c r="M90" s="30" t="inlineStr">
        <is>
          <t>لم يبدأ</t>
        </is>
      </c>
      <c r="N90" s="30" t="n"/>
      <c r="O90" s="30" t="inlineStr">
        <is>
          <t>مرشّح للبدء الآن</t>
        </is>
      </c>
      <c r="P90" s="43">
        <f>IFERROR(INDEX(WorkPackages!$H$5:$H$40,MATCH(B90,WorkPackages!$A$5:$A$40,0)),"")</f>
        <v/>
      </c>
      <c r="Q90" s="42" t="n"/>
      <c r="R90" s="42" t="n"/>
      <c r="S90" s="30" t="inlineStr">
        <is>
          <t>لا</t>
        </is>
      </c>
      <c r="T90" s="30" t="n"/>
      <c r="U90" s="31" t="inlineStr">
        <is>
          <t>نعم</t>
        </is>
      </c>
      <c r="V90" s="31" t="inlineStr">
        <is>
          <t>بعد JSON</t>
        </is>
      </c>
      <c r="W90" s="31" t="inlineStr">
        <is>
          <t>NE-07</t>
        </is>
      </c>
      <c r="X90" s="43">
        <f>IF(W90="","—",IFERROR(IF(INDEX(BackendChecklist!$H$5:$H$30,MATCH(W90,BackendChecklist!$A$5:$A$30,0))="نعم","جاهز للبدء",IF(V90="الآن (بنمط seam)","يبدأ بنمط seam — الربط ينتظر","ينتظر الباك اند")),"؟"))</f>
        <v/>
      </c>
    </row>
    <row r="91" ht="42" customHeight="1" s="26">
      <c r="A91" s="41" t="inlineStr">
        <is>
          <t>S7-05</t>
        </is>
      </c>
      <c r="B91" s="31" t="inlineStr">
        <is>
          <t>WP-S7</t>
        </is>
      </c>
      <c r="C91" s="43">
        <f>IFERROR(INDEX(WorkPackages!$C$5:$C$40,MATCH(B91,WorkPackages!$A$5:$A$40,0)),"")</f>
        <v/>
      </c>
      <c r="D91" s="31" t="inlineStr">
        <is>
          <t>FR-S09</t>
        </is>
      </c>
      <c r="E91" s="31" t="inlineStr">
        <is>
          <t>Test</t>
        </is>
      </c>
      <c r="F91" s="31" t="inlineStr">
        <is>
          <t>اختبارات</t>
        </is>
      </c>
      <c r="G91" s="31" t="inlineStr">
        <is>
          <t>تسميات الحالات وتجميع النسبة إن حُسبت محليًا.</t>
        </is>
      </c>
      <c r="H91" s="31" t="inlineStr">
        <is>
          <t>test-units/attendance.test.ts</t>
        </is>
      </c>
      <c r="I91" s="31" t="inlineStr">
        <is>
          <t>—</t>
        </is>
      </c>
      <c r="J91" s="31" t="inlineStr">
        <is>
          <t>S7-01</t>
        </is>
      </c>
      <c r="K91" s="31" t="inlineStr">
        <is>
          <t>P1</t>
        </is>
      </c>
      <c r="L91" s="31" t="inlineStr">
        <is>
          <t>S</t>
        </is>
      </c>
      <c r="M91" s="30" t="inlineStr">
        <is>
          <t>لم يبدأ</t>
        </is>
      </c>
      <c r="N91" s="30" t="n"/>
      <c r="O91" s="30" t="n"/>
      <c r="P91" s="43">
        <f>IFERROR(INDEX(WorkPackages!$H$5:$H$40,MATCH(B91,WorkPackages!$A$5:$A$40,0)),"")</f>
        <v/>
      </c>
      <c r="Q91" s="42" t="n"/>
      <c r="R91" s="42" t="n"/>
      <c r="S91" s="30" t="inlineStr">
        <is>
          <t>لا</t>
        </is>
      </c>
      <c r="T91" s="30" t="n"/>
      <c r="U91" s="31" t="inlineStr">
        <is>
          <t>نعم</t>
        </is>
      </c>
      <c r="V91" s="31" t="inlineStr">
        <is>
          <t>بعد JSON</t>
        </is>
      </c>
      <c r="W91" s="31" t="inlineStr">
        <is>
          <t>NE-07</t>
        </is>
      </c>
      <c r="X91" s="43">
        <f>IF(W91="","—",IFERROR(IF(INDEX(BackendChecklist!$H$5:$H$30,MATCH(W91,BackendChecklist!$A$5:$A$30,0))="نعم","جاهز للبدء",IF(V91="الآن (بنمط seam)","يبدأ بنمط seam — الربط ينتظر","ينتظر الباك اند")),"؟"))</f>
        <v/>
      </c>
    </row>
    <row r="92" ht="42" customHeight="1" s="26">
      <c r="A92" s="41" t="inlineStr">
        <is>
          <t>S8-01</t>
        </is>
      </c>
      <c r="B92" s="31" t="inlineStr">
        <is>
          <t>WP-S8</t>
        </is>
      </c>
      <c r="C92" s="43">
        <f>IFERROR(INDEX(WorkPackages!$C$5:$C$40,MATCH(B92,WorkPackages!$A$5:$A$40,0)),"")</f>
        <v/>
      </c>
      <c r="D92" s="31" t="inlineStr">
        <is>
          <t>FR-S10</t>
        </is>
      </c>
      <c r="E92" s="31" t="inlineStr">
        <is>
          <t>UI</t>
        </is>
      </c>
      <c r="F92" s="31" t="inlineStr">
        <is>
          <t>جدول نتائج الامتحانات</t>
        </is>
      </c>
      <c r="G92" s="31" t="inlineStr">
        <is>
          <t>العنوان، التاريخ، الدرجة، المجموع، النسبة المحسوبة، الملاحظات.</t>
        </is>
      </c>
      <c r="H92" s="31" t="inlineStr">
        <is>
          <t>routes/_authenticated/exam-results.tsx</t>
        </is>
      </c>
      <c r="I92" s="31" t="inlineStr">
        <is>
          <t>Student/ExamResults</t>
        </is>
      </c>
      <c r="J92" s="31" t="inlineStr">
        <is>
          <t>WP-00</t>
        </is>
      </c>
      <c r="K92" s="31" t="inlineStr">
        <is>
          <t>P0</t>
        </is>
      </c>
      <c r="L92" s="31" t="inlineStr">
        <is>
          <t>M</t>
        </is>
      </c>
      <c r="M92" s="30" t="inlineStr">
        <is>
          <t>لم يبدأ</t>
        </is>
      </c>
      <c r="N92" s="30" t="n"/>
      <c r="O92" s="30" t="n"/>
      <c r="P92" s="43">
        <f>IFERROR(INDEX(WorkPackages!$H$5:$H$40,MATCH(B92,WorkPackages!$A$5:$A$40,0)),"")</f>
        <v/>
      </c>
      <c r="Q92" s="42" t="n"/>
      <c r="R92" s="42" t="n"/>
      <c r="S92" s="30" t="inlineStr">
        <is>
          <t>لا</t>
        </is>
      </c>
      <c r="T92" s="30" t="n"/>
      <c r="U92" s="31" t="inlineStr">
        <is>
          <t>نعم</t>
        </is>
      </c>
      <c r="V92" s="31" t="inlineStr">
        <is>
          <t>بعد JSON</t>
        </is>
      </c>
      <c r="W92" s="31" t="inlineStr">
        <is>
          <t>NE-08</t>
        </is>
      </c>
      <c r="X92" s="43">
        <f>IF(W92="","—",IFERROR(IF(INDEX(BackendChecklist!$H$5:$H$30,MATCH(W92,BackendChecklist!$A$5:$A$30,0))="نعم","جاهز للبدء",IF(V92="الآن (بنمط seam)","يبدأ بنمط seam — الربط ينتظر","ينتظر الباك اند")),"؟"))</f>
        <v/>
      </c>
    </row>
    <row r="93" ht="42" customHeight="1" s="26">
      <c r="A93" s="41" t="inlineStr">
        <is>
          <t>S8-02</t>
        </is>
      </c>
      <c r="B93" s="31" t="inlineStr">
        <is>
          <t>WP-S8</t>
        </is>
      </c>
      <c r="C93" s="43">
        <f>IFERROR(INDEX(WorkPackages!$C$5:$C$40,MATCH(B93,WorkPackages!$A$5:$A$40,0)),"")</f>
        <v/>
      </c>
      <c r="D93" s="31" t="inlineStr">
        <is>
          <t>FR-S10</t>
        </is>
      </c>
      <c r="E93" s="31" t="inlineStr">
        <is>
          <t>UI</t>
        </is>
      </c>
      <c r="F93" s="31" t="inlineStr">
        <is>
          <t>فلتر الكورس</t>
        </is>
      </c>
      <c r="G93" s="31" t="inlineStr">
        <is>
          <t>courseId اختياري.</t>
        </is>
      </c>
      <c r="H93" s="31" t="inlineStr">
        <is>
          <t>routes/_authenticated/exam-results.tsx</t>
        </is>
      </c>
      <c r="I93" s="31" t="inlineStr">
        <is>
          <t>Student/ExamResults</t>
        </is>
      </c>
      <c r="J93" s="31" t="inlineStr">
        <is>
          <t>S8-01</t>
        </is>
      </c>
      <c r="K93" s="31" t="inlineStr">
        <is>
          <t>P1</t>
        </is>
      </c>
      <c r="L93" s="31" t="inlineStr">
        <is>
          <t>S</t>
        </is>
      </c>
      <c r="M93" s="30" t="inlineStr">
        <is>
          <t>لم يبدأ</t>
        </is>
      </c>
      <c r="N93" s="30" t="n"/>
      <c r="O93" s="30" t="inlineStr">
        <is>
          <t>مرشّح للبدء الآن</t>
        </is>
      </c>
      <c r="P93" s="43">
        <f>IFERROR(INDEX(WorkPackages!$H$5:$H$40,MATCH(B93,WorkPackages!$A$5:$A$40,0)),"")</f>
        <v/>
      </c>
      <c r="Q93" s="42" t="n"/>
      <c r="R93" s="42" t="n"/>
      <c r="S93" s="30" t="inlineStr">
        <is>
          <t>لا</t>
        </is>
      </c>
      <c r="T93" s="30" t="n"/>
      <c r="U93" s="31" t="inlineStr">
        <is>
          <t>نعم</t>
        </is>
      </c>
      <c r="V93" s="31" t="inlineStr">
        <is>
          <t>بعد JSON</t>
        </is>
      </c>
      <c r="W93" s="31" t="inlineStr">
        <is>
          <t>NE-08</t>
        </is>
      </c>
      <c r="X93" s="43">
        <f>IF(W93="","—",IFERROR(IF(INDEX(BackendChecklist!$H$5:$H$30,MATCH(W93,BackendChecklist!$A$5:$A$30,0))="نعم","جاهز للبدء",IF(V93="الآن (بنمط seam)","يبدأ بنمط seam — الربط ينتظر","ينتظر الباك اند")),"؟"))</f>
        <v/>
      </c>
    </row>
    <row r="94" ht="42" customHeight="1" s="26">
      <c r="A94" s="41" t="inlineStr">
        <is>
          <t>S8-03</t>
        </is>
      </c>
      <c r="B94" s="31" t="inlineStr">
        <is>
          <t>WP-S8</t>
        </is>
      </c>
      <c r="C94" s="43">
        <f>IFERROR(INDEX(WorkPackages!$C$5:$C$40,MATCH(B94,WorkPackages!$A$5:$A$40,0)),"")</f>
        <v/>
      </c>
      <c r="D94" s="31" t="inlineStr">
        <is>
          <t>FR-S10</t>
        </is>
      </c>
      <c r="E94" s="31" t="inlineStr">
        <is>
          <t>UI</t>
        </is>
      </c>
      <c r="F94" s="31" t="inlineStr">
        <is>
          <t>حالات فارغة/خطأ</t>
        </is>
      </c>
      <c r="G94" s="31" t="inlineStr">
        <is>
          <t>«لا توجد نتائج امتحانات متاحة» + ErrorState.</t>
        </is>
      </c>
      <c r="H94" s="31" t="inlineStr">
        <is>
          <t>routes/_authenticated/exam-results.tsx</t>
        </is>
      </c>
      <c r="I94" s="31" t="inlineStr">
        <is>
          <t>—</t>
        </is>
      </c>
      <c r="J94" s="31" t="inlineStr">
        <is>
          <t>S8-01</t>
        </is>
      </c>
      <c r="K94" s="31" t="inlineStr">
        <is>
          <t>P0</t>
        </is>
      </c>
      <c r="L94" s="31" t="inlineStr">
        <is>
          <t>S</t>
        </is>
      </c>
      <c r="M94" s="30" t="inlineStr">
        <is>
          <t>لم يبدأ</t>
        </is>
      </c>
      <c r="N94" s="30" t="n"/>
      <c r="O94" s="30" t="inlineStr">
        <is>
          <t>مرشّح للبدء الآن</t>
        </is>
      </c>
      <c r="P94" s="43">
        <f>IFERROR(INDEX(WorkPackages!$H$5:$H$40,MATCH(B94,WorkPackages!$A$5:$A$40,0)),"")</f>
        <v/>
      </c>
      <c r="Q94" s="42" t="n"/>
      <c r="R94" s="42" t="n"/>
      <c r="S94" s="30" t="inlineStr">
        <is>
          <t>لا</t>
        </is>
      </c>
      <c r="T94" s="30" t="n"/>
      <c r="U94" s="31" t="inlineStr">
        <is>
          <t>نعم</t>
        </is>
      </c>
      <c r="V94" s="31" t="inlineStr">
        <is>
          <t>بعد JSON</t>
        </is>
      </c>
      <c r="W94" s="31" t="inlineStr">
        <is>
          <t>NE-08</t>
        </is>
      </c>
      <c r="X94" s="43">
        <f>IF(W94="","—",IFERROR(IF(INDEX(BackendChecklist!$H$5:$H$30,MATCH(W94,BackendChecklist!$A$5:$A$30,0))="نعم","جاهز للبدء",IF(V94="الآن (بنمط seam)","يبدأ بنمط seam — الربط ينتظر","ينتظر الباك اند")),"؟"))</f>
        <v/>
      </c>
    </row>
    <row r="95" ht="42" customHeight="1" s="26">
      <c r="A95" s="41" t="inlineStr">
        <is>
          <t>S8-04</t>
        </is>
      </c>
      <c r="B95" s="31" t="inlineStr">
        <is>
          <t>WP-S8</t>
        </is>
      </c>
      <c r="C95" s="43">
        <f>IFERROR(INDEX(WorkPackages!$C$5:$C$40,MATCH(B95,WorkPackages!$A$5:$A$40,0)),"")</f>
        <v/>
      </c>
      <c r="D95" s="31" t="inlineStr">
        <is>
          <t>FR-S10</t>
        </is>
      </c>
      <c r="E95" s="31" t="inlineStr">
        <is>
          <t>Test</t>
        </is>
      </c>
      <c r="F95" s="31" t="inlineStr">
        <is>
          <t>اختبار حساب النسبة</t>
        </is>
      </c>
      <c r="G95" s="31" t="inlineStr">
        <is>
          <t>total=0 لا يقسم على صفر.</t>
        </is>
      </c>
      <c r="H95" s="31" t="inlineStr">
        <is>
          <t>test-units/exam-results.test.ts</t>
        </is>
      </c>
      <c r="I95" s="31" t="inlineStr">
        <is>
          <t>—</t>
        </is>
      </c>
      <c r="J95" s="31" t="inlineStr">
        <is>
          <t>S8-01</t>
        </is>
      </c>
      <c r="K95" s="31" t="inlineStr">
        <is>
          <t>P1</t>
        </is>
      </c>
      <c r="L95" s="31" t="inlineStr">
        <is>
          <t>S</t>
        </is>
      </c>
      <c r="M95" s="30" t="inlineStr">
        <is>
          <t>قيد المراجعة</t>
        </is>
      </c>
      <c r="N95" s="30" t="inlineStr">
        <is>
          <t>Claude</t>
        </is>
      </c>
      <c r="O95" s="30" t="inlineStr">
        <is>
          <t>A-claude (منفّذ)</t>
        </is>
      </c>
      <c r="P95" s="43">
        <f>IFERROR(INDEX(WorkPackages!$H$5:$H$40,MATCH(B95,WorkPackages!$A$5:$A$40,0)),"")</f>
        <v/>
      </c>
      <c r="Q95" s="42" t="n"/>
      <c r="R95" s="42" t="n"/>
      <c r="S95" s="30" t="inlineStr">
        <is>
          <t>لا</t>
        </is>
      </c>
      <c r="T95" s="30" t="inlineStr">
        <is>
          <t>نفّذه Claude؛ lib/exam-percent.ts + src/test-units/exam-results.test.ts — بانتظار validate</t>
        </is>
      </c>
      <c r="U95" s="31" t="inlineStr">
        <is>
          <t>لا</t>
        </is>
      </c>
      <c r="V95" s="31" t="inlineStr">
        <is>
          <t>منفّذ — قيد المراجعة</t>
        </is>
      </c>
      <c r="W95" s="31" t="n"/>
      <c r="X95" s="43">
        <f>IF(W95="","—",IFERROR(IF(INDEX(BackendChecklist!$H$5:$H$30,MATCH(W95,BackendChecklist!$A$5:$A$30,0))="نعم","جاهز للبدء",IF(V95="الآن (بنمط seam)","يبدأ بنمط seam — الربط ينتظر","ينتظر الباك اند")),"؟"))</f>
        <v/>
      </c>
    </row>
    <row r="96" ht="42" customHeight="1" s="26">
      <c r="A96" s="41" t="inlineStr">
        <is>
          <t>S9-01</t>
        </is>
      </c>
      <c r="B96" s="31" t="inlineStr">
        <is>
          <t>WP-S9</t>
        </is>
      </c>
      <c r="C96" s="43">
        <f>IFERROR(INDEX(WorkPackages!$C$5:$C$40,MATCH(B96,WorkPackages!$A$5:$A$40,0)),"")</f>
        <v/>
      </c>
      <c r="D96" s="31" t="inlineStr">
        <is>
          <t>FR-S11</t>
        </is>
      </c>
      <c r="E96" s="31" t="inlineStr">
        <is>
          <t>UI</t>
        </is>
      </c>
      <c r="F96" s="31" t="inlineStr">
        <is>
          <t>مؤشرات التقدم</t>
        </is>
      </c>
      <c r="G96" s="31" t="inlineStr">
        <is>
          <t>Student/Progress: نسبة الحضور، متوسط الامتحانات، عدد الجلسات، عدد الامتحانات (StudentProgressDto معروف).</t>
        </is>
      </c>
      <c r="H96" s="31" t="inlineStr">
        <is>
          <t>routes/_authenticated/progress.tsx</t>
        </is>
      </c>
      <c r="I96" s="31" t="inlineStr">
        <is>
          <t>Student/Progress</t>
        </is>
      </c>
      <c r="J96" s="31" t="inlineStr">
        <is>
          <t>WP-00</t>
        </is>
      </c>
      <c r="K96" s="31" t="inlineStr">
        <is>
          <t>P0</t>
        </is>
      </c>
      <c r="L96" s="31" t="inlineStr">
        <is>
          <t>S</t>
        </is>
      </c>
      <c r="M96" s="30" t="inlineStr">
        <is>
          <t>قيد المراجعة</t>
        </is>
      </c>
      <c r="N96" s="30" t="inlineStr">
        <is>
          <t>المستخدم</t>
        </is>
      </c>
      <c r="O96" s="30" t="inlineStr">
        <is>
          <t>A-user (منفّذ)</t>
        </is>
      </c>
      <c r="P96" s="43">
        <f>IFERROR(INDEX(WorkPackages!$H$5:$H$40,MATCH(B96,WorkPackages!$A$5:$A$40,0)),"")</f>
        <v/>
      </c>
      <c r="Q96" s="42" t="n"/>
      <c r="R96" s="42" t="n"/>
      <c r="S96" s="30" t="inlineStr">
        <is>
          <t>لا</t>
        </is>
      </c>
      <c r="T96" s="30" t="inlineStr">
        <is>
          <t>نفّذه المستخدم؛ progress.tsx حلّ محل stub WP-00؛ النوع من الكود (يُتحقق بـJ-04)</t>
        </is>
      </c>
      <c r="U96" s="31" t="inlineStr">
        <is>
          <t>لا</t>
        </is>
      </c>
      <c r="V96" s="31" t="inlineStr">
        <is>
          <t>منفّذ — قيد المراجعة</t>
        </is>
      </c>
      <c r="W96" s="31" t="n"/>
      <c r="X96" s="43">
        <f>IF(W96="","—",IFERROR(IF(INDEX(BackendChecklist!$H$5:$H$30,MATCH(W96,BackendChecklist!$A$5:$A$30,0))="نعم","جاهز للبدء",IF(V96="الآن (بنمط seam)","يبدأ بنمط seam — الربط ينتظر","ينتظر الباك اند")),"؟"))</f>
        <v/>
      </c>
    </row>
    <row r="97" ht="42" customHeight="1" s="26">
      <c r="A97" s="41" t="inlineStr">
        <is>
          <t>S9-02</t>
        </is>
      </c>
      <c r="B97" s="31" t="inlineStr">
        <is>
          <t>WP-S9</t>
        </is>
      </c>
      <c r="C97" s="43">
        <f>IFERROR(INDEX(WorkPackages!$C$5:$C$40,MATCH(B97,WorkPackages!$A$5:$A$40,0)),"")</f>
        <v/>
      </c>
      <c r="D97" s="31" t="inlineStr">
        <is>
          <t>FR-S11</t>
        </is>
      </c>
      <c r="E97" s="31" t="inlineStr">
        <is>
          <t>UI</t>
        </is>
      </c>
      <c r="F97" s="31" t="inlineStr">
        <is>
          <t>القيم غير المتاحة</t>
        </is>
      </c>
      <c r="G97" s="31" t="inlineStr">
        <is>
          <t>null → «—» وشرح (لا سجلات كافية) بدل 0%.</t>
        </is>
      </c>
      <c r="H97" s="31" t="inlineStr">
        <is>
          <t>routes/_authenticated/progress.tsx</t>
        </is>
      </c>
      <c r="I97" s="31" t="inlineStr">
        <is>
          <t>—</t>
        </is>
      </c>
      <c r="J97" s="31" t="inlineStr">
        <is>
          <t>S9-01</t>
        </is>
      </c>
      <c r="K97" s="31" t="inlineStr">
        <is>
          <t>P0</t>
        </is>
      </c>
      <c r="L97" s="31" t="inlineStr">
        <is>
          <t>S</t>
        </is>
      </c>
      <c r="M97" s="30" t="inlineStr">
        <is>
          <t>قيد المراجعة</t>
        </is>
      </c>
      <c r="N97" s="30" t="inlineStr">
        <is>
          <t>المستخدم</t>
        </is>
      </c>
      <c r="O97" s="30" t="inlineStr">
        <is>
          <t>A-user (منفّذ)</t>
        </is>
      </c>
      <c r="P97" s="43">
        <f>IFERROR(INDEX(WorkPackages!$H$5:$H$40,MATCH(B97,WorkPackages!$A$5:$A$40,0)),"")</f>
        <v/>
      </c>
      <c r="Q97" s="42" t="n"/>
      <c r="R97" s="42" t="n"/>
      <c r="S97" s="30" t="inlineStr">
        <is>
          <t>لا</t>
        </is>
      </c>
      <c r="T97" s="30" t="inlineStr">
        <is>
          <t>نفّذه المستخدم (wave1-half-claude-files.zip)؛ بانتظار validate</t>
        </is>
      </c>
      <c r="U97" s="31" t="inlineStr">
        <is>
          <t>لا</t>
        </is>
      </c>
      <c r="V97" s="31" t="inlineStr">
        <is>
          <t>منفّذ — قيد المراجعة</t>
        </is>
      </c>
      <c r="W97" s="31" t="n"/>
      <c r="X97" s="43">
        <f>IF(W97="","—",IFERROR(IF(INDEX(BackendChecklist!$H$5:$H$30,MATCH(W97,BackendChecklist!$A$5:$A$30,0))="نعم","جاهز للبدء",IF(V97="الآن (بنمط seam)","يبدأ بنمط seam — الربط ينتظر","ينتظر الباك اند")),"؟"))</f>
        <v/>
      </c>
    </row>
    <row r="98" ht="42" customHeight="1" s="26">
      <c r="A98" s="41" t="inlineStr">
        <is>
          <t>S9-03</t>
        </is>
      </c>
      <c r="B98" s="31" t="inlineStr">
        <is>
          <t>WP-S9</t>
        </is>
      </c>
      <c r="C98" s="43">
        <f>IFERROR(INDEX(WorkPackages!$C$5:$C$40,MATCH(B98,WorkPackages!$A$5:$A$40,0)),"")</f>
        <v/>
      </c>
      <c r="D98" s="31" t="inlineStr">
        <is>
          <t>FR-S11</t>
        </is>
      </c>
      <c r="E98" s="31" t="inlineStr">
        <is>
          <t>UI</t>
        </is>
      </c>
      <c r="F98" s="31" t="inlineStr">
        <is>
          <t>شرائط/عدّادات التقدم</t>
        </is>
      </c>
      <c r="G98" s="31" t="inlineStr">
        <is>
          <t>استخدام Progress + StatGrid الموجودين في kit.</t>
        </is>
      </c>
      <c r="H98" s="31" t="inlineStr">
        <is>
          <t>routes/_authenticated/progress.tsx</t>
        </is>
      </c>
      <c r="I98" s="31" t="inlineStr">
        <is>
          <t>—</t>
        </is>
      </c>
      <c r="J98" s="31" t="inlineStr">
        <is>
          <t>S9-01</t>
        </is>
      </c>
      <c r="K98" s="31" t="inlineStr">
        <is>
          <t>P1</t>
        </is>
      </c>
      <c r="L98" s="31" t="inlineStr">
        <is>
          <t>S</t>
        </is>
      </c>
      <c r="M98" s="30" t="inlineStr">
        <is>
          <t>قيد المراجعة</t>
        </is>
      </c>
      <c r="N98" s="30" t="inlineStr">
        <is>
          <t>المستخدم</t>
        </is>
      </c>
      <c r="O98" s="30" t="inlineStr">
        <is>
          <t>A-user (منفّذ)</t>
        </is>
      </c>
      <c r="P98" s="43">
        <f>IFERROR(INDEX(WorkPackages!$H$5:$H$40,MATCH(B98,WorkPackages!$A$5:$A$40,0)),"")</f>
        <v/>
      </c>
      <c r="Q98" s="42" t="n"/>
      <c r="R98" s="42" t="n"/>
      <c r="S98" s="30" t="inlineStr">
        <is>
          <t>لا</t>
        </is>
      </c>
      <c r="T98" s="30" t="inlineStr">
        <is>
          <t>نفّذه المستخدم (wave1-half-claude-files.zip)؛ بانتظار validate</t>
        </is>
      </c>
      <c r="U98" s="31" t="inlineStr">
        <is>
          <t>لا</t>
        </is>
      </c>
      <c r="V98" s="31" t="inlineStr">
        <is>
          <t>منفّذ — قيد المراجعة</t>
        </is>
      </c>
      <c r="W98" s="31" t="n"/>
      <c r="X98" s="43">
        <f>IF(W98="","—",IFERROR(IF(INDEX(BackendChecklist!$H$5:$H$30,MATCH(W98,BackendChecklist!$A$5:$A$30,0))="نعم","جاهز للبدء",IF(V98="الآن (بنمط seam)","يبدأ بنمط seam — الربط ينتظر","ينتظر الباك اند")),"؟"))</f>
        <v/>
      </c>
    </row>
    <row r="99" ht="42" customHeight="1" s="26">
      <c r="A99" s="41" t="inlineStr">
        <is>
          <t>S9-04</t>
        </is>
      </c>
      <c r="B99" s="31" t="inlineStr">
        <is>
          <t>WP-S9</t>
        </is>
      </c>
      <c r="C99" s="43">
        <f>IFERROR(INDEX(WorkPackages!$C$5:$C$40,MATCH(B99,WorkPackages!$A$5:$A$40,0)),"")</f>
        <v/>
      </c>
      <c r="D99" s="31" t="inlineStr">
        <is>
          <t>FR-S11</t>
        </is>
      </c>
      <c r="E99" s="31" t="inlineStr">
        <is>
          <t>UI</t>
        </is>
      </c>
      <c r="F99" s="31" t="inlineStr">
        <is>
          <t>حالات تحميل/خطأ</t>
        </is>
      </c>
      <c r="G99" s="31" t="inlineStr">
        <is>
          <t>ErrorState/LoadingState الموحدة.</t>
        </is>
      </c>
      <c r="H99" s="31" t="inlineStr">
        <is>
          <t>routes/_authenticated/progress.tsx</t>
        </is>
      </c>
      <c r="I99" s="31" t="inlineStr">
        <is>
          <t>—</t>
        </is>
      </c>
      <c r="J99" s="31" t="inlineStr">
        <is>
          <t>S9-01</t>
        </is>
      </c>
      <c r="K99" s="31" t="inlineStr">
        <is>
          <t>P0</t>
        </is>
      </c>
      <c r="L99" s="31" t="inlineStr">
        <is>
          <t>S</t>
        </is>
      </c>
      <c r="M99" s="30" t="inlineStr">
        <is>
          <t>قيد المراجعة</t>
        </is>
      </c>
      <c r="N99" s="30" t="inlineStr">
        <is>
          <t>المستخدم</t>
        </is>
      </c>
      <c r="O99" s="30" t="inlineStr">
        <is>
          <t>A-user (منفّذ)</t>
        </is>
      </c>
      <c r="P99" s="43">
        <f>IFERROR(INDEX(WorkPackages!$H$5:$H$40,MATCH(B99,WorkPackages!$A$5:$A$40,0)),"")</f>
        <v/>
      </c>
      <c r="Q99" s="42" t="n"/>
      <c r="R99" s="42" t="n"/>
      <c r="S99" s="30" t="inlineStr">
        <is>
          <t>لا</t>
        </is>
      </c>
      <c r="T99" s="30" t="inlineStr">
        <is>
          <t>نفّذه المستخدم (wave1-half-claude-files.zip)؛ بانتظار validate</t>
        </is>
      </c>
      <c r="U99" s="31" t="inlineStr">
        <is>
          <t>لا</t>
        </is>
      </c>
      <c r="V99" s="31" t="inlineStr">
        <is>
          <t>منفّذ — قيد المراجعة</t>
        </is>
      </c>
      <c r="W99" s="31" t="n"/>
      <c r="X99" s="43">
        <f>IF(W99="","—",IFERROR(IF(INDEX(BackendChecklist!$H$5:$H$30,MATCH(W99,BackendChecklist!$A$5:$A$30,0))="نعم","جاهز للبدء",IF(V99="الآن (بنمط seam)","يبدأ بنمط seam — الربط ينتظر","ينتظر الباك اند")),"؟"))</f>
        <v/>
      </c>
    </row>
    <row r="100" ht="42" customHeight="1" s="26">
      <c r="A100" s="41" t="inlineStr">
        <is>
          <t>S9-05</t>
        </is>
      </c>
      <c r="B100" s="31" t="inlineStr">
        <is>
          <t>WP-S9</t>
        </is>
      </c>
      <c r="C100" s="43">
        <f>IFERROR(INDEX(WorkPackages!$C$5:$C$40,MATCH(B100,WorkPackages!$A$5:$A$40,0)),"")</f>
        <v/>
      </c>
      <c r="D100" s="31" t="inlineStr">
        <is>
          <t>FR-S11</t>
        </is>
      </c>
      <c r="E100" s="31" t="inlineStr">
        <is>
          <t>Test</t>
        </is>
      </c>
      <c r="F100" s="31" t="inlineStr">
        <is>
          <t>اختبارات</t>
        </is>
      </c>
      <c r="G100" s="31" t="inlineStr">
        <is>
          <t>تنسيق القيم الفارغة.</t>
        </is>
      </c>
      <c r="H100" s="31" t="inlineStr">
        <is>
          <t>test-units/progress.test.ts</t>
        </is>
      </c>
      <c r="I100" s="31" t="inlineStr">
        <is>
          <t>—</t>
        </is>
      </c>
      <c r="J100" s="31" t="inlineStr">
        <is>
          <t>S9-01</t>
        </is>
      </c>
      <c r="K100" s="31" t="inlineStr">
        <is>
          <t>P1</t>
        </is>
      </c>
      <c r="L100" s="31" t="inlineStr">
        <is>
          <t>S</t>
        </is>
      </c>
      <c r="M100" s="30" t="inlineStr">
        <is>
          <t>قيد المراجعة</t>
        </is>
      </c>
      <c r="N100" s="30" t="inlineStr">
        <is>
          <t>المستخدم</t>
        </is>
      </c>
      <c r="O100" s="30" t="inlineStr">
        <is>
          <t>A-user (منفّذ)</t>
        </is>
      </c>
      <c r="P100" s="43">
        <f>IFERROR(INDEX(WorkPackages!$H$5:$H$40,MATCH(B100,WorkPackages!$A$5:$A$40,0)),"")</f>
        <v/>
      </c>
      <c r="Q100" s="42" t="n"/>
      <c r="R100" s="42" t="n"/>
      <c r="S100" s="30" t="inlineStr">
        <is>
          <t>لا</t>
        </is>
      </c>
      <c r="T100" s="30" t="inlineStr">
        <is>
          <t>نفّذه المستخدم (wave1-half-claude-files.zip)؛ بانتظار validate</t>
        </is>
      </c>
      <c r="U100" s="31" t="inlineStr">
        <is>
          <t>لا</t>
        </is>
      </c>
      <c r="V100" s="31" t="inlineStr">
        <is>
          <t>منفّذ — قيد المراجعة</t>
        </is>
      </c>
      <c r="W100" s="31" t="n"/>
      <c r="X100" s="43">
        <f>IF(W100="","—",IFERROR(IF(INDEX(BackendChecklist!$H$5:$H$30,MATCH(W100,BackendChecklist!$A$5:$A$30,0))="نعم","جاهز للبدء",IF(V100="الآن (بنمط seam)","يبدأ بنمط seam — الربط ينتظر","ينتظر الباك اند")),"؟"))</f>
        <v/>
      </c>
    </row>
    <row r="101" ht="42" customHeight="1" s="26">
      <c r="A101" s="41" t="inlineStr">
        <is>
          <t>P1-01</t>
        </is>
      </c>
      <c r="B101" s="31" t="inlineStr">
        <is>
          <t>WP-P1</t>
        </is>
      </c>
      <c r="C101" s="43">
        <f>IFERROR(INDEX(WorkPackages!$C$5:$C$40,MATCH(B101,WorkPackages!$A$5:$A$40,0)),"")</f>
        <v/>
      </c>
      <c r="D101" s="31" t="inlineStr">
        <is>
          <t>FR-P11</t>
        </is>
      </c>
      <c r="E101" s="31" t="inlineStr">
        <is>
          <t>UI</t>
        </is>
      </c>
      <c r="F101" s="31" t="inlineStr">
        <is>
          <t>عرض عدد الإشعارات غير المقروءة</t>
        </is>
      </c>
      <c r="G101" s="31" t="inlineStr">
        <is>
          <t>StatGrid في تقرير ولي الأمر: unreadNotificationsCount للابن النشط + إجمالي الأبناء (يُوثَّق بوضوح بالواجهة أن العدد مأخوذ من كل ابن، Q-11). صفر عند عدم الوجود.</t>
        </is>
      </c>
      <c r="H101" s="31" t="inlineStr">
        <is>
          <t>routes/_authenticated/parent.report.tsx</t>
        </is>
      </c>
      <c r="I101" s="31" t="inlineStr">
        <is>
          <t>Parent/MyChildren</t>
        </is>
      </c>
      <c r="J101" s="31" t="inlineStr">
        <is>
          <t>WP-00</t>
        </is>
      </c>
      <c r="K101" s="31" t="inlineStr">
        <is>
          <t>P0</t>
        </is>
      </c>
      <c r="L101" s="31" t="inlineStr">
        <is>
          <t>S</t>
        </is>
      </c>
      <c r="M101" s="30" t="inlineStr">
        <is>
          <t>قيد المراجعة</t>
        </is>
      </c>
      <c r="N101" s="30" t="inlineStr">
        <is>
          <t>المستخدم</t>
        </is>
      </c>
      <c r="O101" s="30" t="inlineStr">
        <is>
          <t>A-user (منفّذ)</t>
        </is>
      </c>
      <c r="P101" s="43">
        <f>IFERROR(INDEX(WorkPackages!$H$5:$H$40,MATCH(B101,WorkPackages!$A$5:$A$40,0)),"")</f>
        <v/>
      </c>
      <c r="Q101" s="42" t="n"/>
      <c r="R101" s="42" t="n"/>
      <c r="S101" s="30" t="inlineStr">
        <is>
          <t>لا</t>
        </is>
      </c>
      <c r="T101" s="30" t="inlineStr">
        <is>
          <t>نفّذه المستخدم (wp-p1-w2-files.zip)؛ بانتظار npm run validate محليًا</t>
        </is>
      </c>
      <c r="U101" s="31" t="inlineStr">
        <is>
          <t>لا</t>
        </is>
      </c>
      <c r="V101" s="31" t="inlineStr">
        <is>
          <t>منفّذ — قيد المراجعة</t>
        </is>
      </c>
      <c r="W101" s="31" t="n"/>
      <c r="X101" s="43">
        <f>IF(W101="","—",IFERROR(IF(INDEX(BackendChecklist!$H$5:$H$30,MATCH(W101,BackendChecklist!$A$5:$A$30,0))="نعم","جاهز للبدء",IF(V101="الآن (بنمط seam)","يبدأ بنمط seam — الربط ينتظر","ينتظر الباك اند")),"؟"))</f>
        <v/>
      </c>
    </row>
    <row r="102" ht="42" customHeight="1" s="26">
      <c r="A102" s="41" t="inlineStr">
        <is>
          <t>P1-02</t>
        </is>
      </c>
      <c r="B102" s="31" t="inlineStr">
        <is>
          <t>WP-P1</t>
        </is>
      </c>
      <c r="C102" s="43">
        <f>IFERROR(INDEX(WorkPackages!$C$5:$C$40,MATCH(B102,WorkPackages!$A$5:$A$40,0)),"")</f>
        <v/>
      </c>
      <c r="D102" s="31" t="inlineStr">
        <is>
          <t>FR-P11</t>
        </is>
      </c>
      <c r="E102" s="31" t="inlineStr">
        <is>
          <t>UI</t>
        </is>
      </c>
      <c r="F102" s="31" t="inlineStr">
        <is>
          <t>فشل الجلب لا يكسر اللوحة</t>
        </is>
      </c>
      <c r="G102" s="31" t="inlineStr">
        <is>
          <t>Exception Flow: عرض اللوحة بدون العدد + تنبيه غير حاجب.</t>
        </is>
      </c>
      <c r="H102" s="31" t="inlineStr">
        <is>
          <t>routes/_authenticated/parent.report.tsx</t>
        </is>
      </c>
      <c r="I102" s="31" t="inlineStr">
        <is>
          <t>—</t>
        </is>
      </c>
      <c r="J102" s="31" t="inlineStr">
        <is>
          <t>P1-01</t>
        </is>
      </c>
      <c r="K102" s="31" t="inlineStr">
        <is>
          <t>P1</t>
        </is>
      </c>
      <c r="L102" s="31" t="inlineStr">
        <is>
          <t>S</t>
        </is>
      </c>
      <c r="M102" s="30" t="inlineStr">
        <is>
          <t>قيد المراجعة</t>
        </is>
      </c>
      <c r="N102" s="30" t="inlineStr">
        <is>
          <t>المستخدم</t>
        </is>
      </c>
      <c r="O102" s="30" t="inlineStr">
        <is>
          <t>A-user (منفّذ)</t>
        </is>
      </c>
      <c r="P102" s="43">
        <f>IFERROR(INDEX(WorkPackages!$H$5:$H$40,MATCH(B102,WorkPackages!$A$5:$A$40,0)),"")</f>
        <v/>
      </c>
      <c r="Q102" s="42" t="n"/>
      <c r="R102" s="42" t="n"/>
      <c r="S102" s="30" t="inlineStr">
        <is>
          <t>لا</t>
        </is>
      </c>
      <c r="T102" s="30" t="inlineStr">
        <is>
          <t>نفّذه المستخدم (wp-p1-w2-files.zip)؛ بانتظار npm run validate محليًا</t>
        </is>
      </c>
      <c r="U102" s="31" t="inlineStr">
        <is>
          <t>لا</t>
        </is>
      </c>
      <c r="V102" s="31" t="inlineStr">
        <is>
          <t>منفّذ — قيد المراجعة</t>
        </is>
      </c>
      <c r="W102" s="31" t="n"/>
      <c r="X102" s="43">
        <f>IF(W102="","—",IFERROR(IF(INDEX(BackendChecklist!$H$5:$H$30,MATCH(W102,BackendChecklist!$A$5:$A$30,0))="نعم","جاهز للبدء",IF(V102="الآن (بنمط seam)","يبدأ بنمط seam — الربط ينتظر","ينتظر الباك اند")),"؟"))</f>
        <v/>
      </c>
    </row>
    <row r="103" ht="42" customHeight="1" s="26">
      <c r="A103" s="41" t="inlineStr">
        <is>
          <t>P1-03</t>
        </is>
      </c>
      <c r="B103" s="31" t="inlineStr">
        <is>
          <t>WP-P1</t>
        </is>
      </c>
      <c r="C103" s="43">
        <f>IFERROR(INDEX(WorkPackages!$C$5:$C$40,MATCH(B103,WorkPackages!$A$5:$A$40,0)),"")</f>
        <v/>
      </c>
      <c r="D103" s="31" t="inlineStr">
        <is>
          <t>FR-P08</t>
        </is>
      </c>
      <c r="E103" s="31" t="inlineStr">
        <is>
          <t>UI</t>
        </is>
      </c>
      <c r="F103" s="31" t="inlineStr">
        <is>
          <t>معالجة رفض الوصول (403)</t>
        </is>
      </c>
      <c r="G103" s="31" t="inlineStr">
        <is>
          <t>أخطاء ChildAttendance/ChildExamResults لابن غير مرتبط تظهر كـ«غير مصرّح»؛ اختيار الابن من getMyChildren فقط، بدون إدخال يدوي لـ studentId.</t>
        </is>
      </c>
      <c r="H103" s="31" t="inlineStr">
        <is>
          <t>routes/_authenticated/parent.report.tsx</t>
        </is>
      </c>
      <c r="I103" s="31" t="inlineStr">
        <is>
          <t>Parent/ChildAttendance, ChildExamResults</t>
        </is>
      </c>
      <c r="J103" s="31" t="inlineStr">
        <is>
          <t>P1-01</t>
        </is>
      </c>
      <c r="K103" s="31" t="inlineStr">
        <is>
          <t>P0</t>
        </is>
      </c>
      <c r="L103" s="31" t="inlineStr">
        <is>
          <t>S</t>
        </is>
      </c>
      <c r="M103" s="30" t="inlineStr">
        <is>
          <t>قيد المراجعة</t>
        </is>
      </c>
      <c r="N103" s="30" t="inlineStr">
        <is>
          <t>المستخدم</t>
        </is>
      </c>
      <c r="O103" s="30" t="inlineStr">
        <is>
          <t>A-user (منفّذ)</t>
        </is>
      </c>
      <c r="P103" s="43">
        <f>IFERROR(INDEX(WorkPackages!$H$5:$H$40,MATCH(B103,WorkPackages!$A$5:$A$40,0)),"")</f>
        <v/>
      </c>
      <c r="Q103" s="42" t="n"/>
      <c r="R103" s="42" t="n"/>
      <c r="S103" s="30" t="inlineStr">
        <is>
          <t>لا</t>
        </is>
      </c>
      <c r="T103" s="30" t="inlineStr">
        <is>
          <t>نفّذه المستخدم (wp-p1-w2-files.zip)؛ بانتظار npm run validate محليًا</t>
        </is>
      </c>
      <c r="U103" s="31" t="inlineStr">
        <is>
          <t>لا</t>
        </is>
      </c>
      <c r="V103" s="31" t="inlineStr">
        <is>
          <t>منفّذ — قيد المراجعة</t>
        </is>
      </c>
      <c r="W103" s="31" t="n"/>
      <c r="X103" s="43">
        <f>IF(W103="","—",IFERROR(IF(INDEX(BackendChecklist!$H$5:$H$30,MATCH(W103,BackendChecklist!$A$5:$A$30,0))="نعم","جاهز للبدء",IF(V103="الآن (بنمط seam)","يبدأ بنمط seam — الربط ينتظر","ينتظر الباك اند")),"؟"))</f>
        <v/>
      </c>
    </row>
    <row r="104" ht="42" customHeight="1" s="26">
      <c r="A104" s="41" t="inlineStr">
        <is>
          <t>P1-04</t>
        </is>
      </c>
      <c r="B104" s="31" t="inlineStr">
        <is>
          <t>WP-P1</t>
        </is>
      </c>
      <c r="C104" s="43">
        <f>IFERROR(INDEX(WorkPackages!$C$5:$C$40,MATCH(B104,WorkPackages!$A$5:$A$40,0)),"")</f>
        <v/>
      </c>
      <c r="D104" s="31" t="inlineStr">
        <is>
          <t>FR-P11</t>
        </is>
      </c>
      <c r="E104" s="31" t="inlineStr">
        <is>
          <t>UI</t>
        </is>
      </c>
      <c r="F104" s="31" t="inlineStr">
        <is>
          <t>بانر «قراءة فقط»</t>
        </is>
      </c>
      <c r="G104" s="31" t="inlineStr">
        <is>
          <t>FR-P12: توضيح أن ولي الأمر لا يعدّل بيانات أكاديمية.</t>
        </is>
      </c>
      <c r="H104" s="31" t="inlineStr">
        <is>
          <t>routes/_authenticated/parent.report.tsx</t>
        </is>
      </c>
      <c r="I104" s="31" t="inlineStr">
        <is>
          <t>—</t>
        </is>
      </c>
      <c r="J104" s="31" t="inlineStr">
        <is>
          <t>P1-01</t>
        </is>
      </c>
      <c r="K104" s="31" t="inlineStr">
        <is>
          <t>P2</t>
        </is>
      </c>
      <c r="L104" s="31" t="inlineStr">
        <is>
          <t>S</t>
        </is>
      </c>
      <c r="M104" s="30" t="inlineStr">
        <is>
          <t>قيد المراجعة</t>
        </is>
      </c>
      <c r="N104" s="30" t="inlineStr">
        <is>
          <t>المستخدم</t>
        </is>
      </c>
      <c r="O104" s="30" t="inlineStr">
        <is>
          <t>A-user (منفّذ)</t>
        </is>
      </c>
      <c r="P104" s="43">
        <f>IFERROR(INDEX(WorkPackages!$H$5:$H$40,MATCH(B104,WorkPackages!$A$5:$A$40,0)),"")</f>
        <v/>
      </c>
      <c r="Q104" s="42" t="n"/>
      <c r="R104" s="42" t="n"/>
      <c r="S104" s="30" t="inlineStr">
        <is>
          <t>لا</t>
        </is>
      </c>
      <c r="T104" s="30" t="inlineStr">
        <is>
          <t>نفّذه المستخدم (wp-p1-w2-files.zip)؛ بانتظار npm run validate محليًا</t>
        </is>
      </c>
      <c r="U104" s="31" t="inlineStr">
        <is>
          <t>لا</t>
        </is>
      </c>
      <c r="V104" s="31" t="inlineStr">
        <is>
          <t>منفّذ — قيد المراجعة</t>
        </is>
      </c>
      <c r="W104" s="31" t="n"/>
      <c r="X104" s="43">
        <f>IF(W104="","—",IFERROR(IF(INDEX(BackendChecklist!$H$5:$H$30,MATCH(W104,BackendChecklist!$A$5:$A$30,0))="نعم","جاهز للبدء",IF(V104="الآن (بنمط seam)","يبدأ بنمط seam — الربط ينتظر","ينتظر الباك اند")),"؟"))</f>
        <v/>
      </c>
    </row>
    <row r="105" ht="42" customHeight="1" s="26">
      <c r="A105" s="41" t="inlineStr">
        <is>
          <t>P1-05</t>
        </is>
      </c>
      <c r="B105" s="31" t="inlineStr">
        <is>
          <t>WP-P1</t>
        </is>
      </c>
      <c r="C105" s="43">
        <f>IFERROR(INDEX(WorkPackages!$C$5:$C$40,MATCH(B105,WorkPackages!$A$5:$A$40,0)),"")</f>
        <v/>
      </c>
      <c r="D105" s="31" t="inlineStr">
        <is>
          <t>FR-P11</t>
        </is>
      </c>
      <c r="E105" s="31" t="inlineStr">
        <is>
          <t>UI</t>
        </is>
      </c>
      <c r="F105" s="31" t="inlineStr">
        <is>
          <t>عمود حالة الحضور</t>
        </is>
      </c>
      <c r="G105" s="31" t="inlineStr">
        <is>
          <t>عرض status (حاضر/غائب/متأخر/معذور) بجدول الحضور (موجود بالـDTO وغير معروض).</t>
        </is>
      </c>
      <c r="H105" s="31" t="inlineStr">
        <is>
          <t>routes/_authenticated/parent.report.tsx</t>
        </is>
      </c>
      <c r="I105" s="31" t="inlineStr">
        <is>
          <t>Parent/ChildAttendance</t>
        </is>
      </c>
      <c r="J105" s="31" t="inlineStr">
        <is>
          <t>P1-01</t>
        </is>
      </c>
      <c r="K105" s="31" t="inlineStr">
        <is>
          <t>P1</t>
        </is>
      </c>
      <c r="L105" s="31" t="inlineStr">
        <is>
          <t>S</t>
        </is>
      </c>
      <c r="M105" s="30" t="inlineStr">
        <is>
          <t>قيد المراجعة</t>
        </is>
      </c>
      <c r="N105" s="30" t="inlineStr">
        <is>
          <t>المستخدم</t>
        </is>
      </c>
      <c r="O105" s="30" t="inlineStr">
        <is>
          <t>A-user (منفّذ)</t>
        </is>
      </c>
      <c r="P105" s="43">
        <f>IFERROR(INDEX(WorkPackages!$H$5:$H$40,MATCH(B105,WorkPackages!$A$5:$A$40,0)),"")</f>
        <v/>
      </c>
      <c r="Q105" s="42" t="n"/>
      <c r="R105" s="42" t="n"/>
      <c r="S105" s="30" t="inlineStr">
        <is>
          <t>لا</t>
        </is>
      </c>
      <c r="T105" s="30" t="inlineStr">
        <is>
          <t>نفّذه المستخدم (wp-p1-w2-files.zip)؛ بانتظار npm run validate محليًا</t>
        </is>
      </c>
      <c r="U105" s="31" t="inlineStr">
        <is>
          <t>لا</t>
        </is>
      </c>
      <c r="V105" s="31" t="inlineStr">
        <is>
          <t>منفّذ — قيد المراجعة</t>
        </is>
      </c>
      <c r="W105" s="31" t="n"/>
      <c r="X105" s="43">
        <f>IF(W105="","—",IFERROR(IF(INDEX(BackendChecklist!$H$5:$H$30,MATCH(W105,BackendChecklist!$A$5:$A$30,0))="نعم","جاهز للبدء",IF(V105="الآن (بنمط seam)","يبدأ بنمط seam — الربط ينتظر","ينتظر الباك اند")),"؟"))</f>
        <v/>
      </c>
    </row>
    <row r="106" ht="42" customHeight="1" s="26">
      <c r="A106" s="41" t="inlineStr">
        <is>
          <t>P1-06</t>
        </is>
      </c>
      <c r="B106" s="31" t="inlineStr">
        <is>
          <t>WP-P1</t>
        </is>
      </c>
      <c r="C106" s="43">
        <f>IFERROR(INDEX(WorkPackages!$C$5:$C$40,MATCH(B106,WorkPackages!$A$5:$A$40,0)),"")</f>
        <v/>
      </c>
      <c r="D106" s="31" t="inlineStr">
        <is>
          <t>FR-P11</t>
        </is>
      </c>
      <c r="E106" s="31" t="inlineStr">
        <is>
          <t>UI</t>
        </is>
      </c>
      <c r="F106" s="31" t="inlineStr">
        <is>
          <t>عدد غير المقروء لكل ابن بصفحة الإعدادات</t>
        </is>
      </c>
      <c r="G106" s="31" t="inlineStr">
        <is>
          <t>إضافته للأبناء المرتبطين.</t>
        </is>
      </c>
      <c r="H106" s="31" t="inlineStr">
        <is>
          <t>routes/_authenticated/parent.settings.tsx</t>
        </is>
      </c>
      <c r="I106" s="31" t="inlineStr">
        <is>
          <t>Parent/MyChildren</t>
        </is>
      </c>
      <c r="J106" s="31" t="inlineStr">
        <is>
          <t>P1-01</t>
        </is>
      </c>
      <c r="K106" s="31" t="inlineStr">
        <is>
          <t>P2</t>
        </is>
      </c>
      <c r="L106" s="31" t="inlineStr">
        <is>
          <t>S</t>
        </is>
      </c>
      <c r="M106" s="30" t="inlineStr">
        <is>
          <t>قيد المراجعة</t>
        </is>
      </c>
      <c r="N106" s="30" t="inlineStr">
        <is>
          <t>المستخدم</t>
        </is>
      </c>
      <c r="O106" s="30" t="inlineStr">
        <is>
          <t>A-user (منفّذ)</t>
        </is>
      </c>
      <c r="P106" s="43">
        <f>IFERROR(INDEX(WorkPackages!$H$5:$H$40,MATCH(B106,WorkPackages!$A$5:$A$40,0)),"")</f>
        <v/>
      </c>
      <c r="Q106" s="42" t="n"/>
      <c r="R106" s="42" t="n"/>
      <c r="S106" s="30" t="inlineStr">
        <is>
          <t>لا</t>
        </is>
      </c>
      <c r="T106" s="30" t="inlineStr">
        <is>
          <t>نفّذه المستخدم (wp-p1-w2-files.zip)؛ بانتظار npm run validate محليًا</t>
        </is>
      </c>
      <c r="U106" s="31" t="inlineStr">
        <is>
          <t>لا</t>
        </is>
      </c>
      <c r="V106" s="31" t="inlineStr">
        <is>
          <t>منفّذ — قيد المراجعة</t>
        </is>
      </c>
      <c r="W106" s="31" t="n"/>
      <c r="X106" s="43">
        <f>IF(W106="","—",IFERROR(IF(INDEX(BackendChecklist!$H$5:$H$30,MATCH(W106,BackendChecklist!$A$5:$A$30,0))="نعم","جاهز للبدء",IF(V106="الآن (بنمط seam)","يبدأ بنمط seam — الربط ينتظر","ينتظر الباك اند")),"؟"))</f>
        <v/>
      </c>
    </row>
    <row r="107" ht="42" customHeight="1" s="26">
      <c r="A107" s="41" t="inlineStr">
        <is>
          <t>P1-07</t>
        </is>
      </c>
      <c r="B107" s="31" t="inlineStr">
        <is>
          <t>WP-P1</t>
        </is>
      </c>
      <c r="C107" s="43">
        <f>IFERROR(INDEX(WorkPackages!$C$5:$C$40,MATCH(B107,WorkPackages!$A$5:$A$40,0)),"")</f>
        <v/>
      </c>
      <c r="D107" s="31" t="inlineStr">
        <is>
          <t>FR-P11</t>
        </is>
      </c>
      <c r="E107" s="31" t="inlineStr">
        <is>
          <t>Test</t>
        </is>
      </c>
      <c r="F107" s="31" t="inlineStr">
        <is>
          <t>اختبارات</t>
        </is>
      </c>
      <c r="G107" s="31" t="inlineStr">
        <is>
          <t>تجميع العدد وتسميات الحالات.</t>
        </is>
      </c>
      <c r="H107" s="31" t="inlineStr">
        <is>
          <t>test-units/parent.report.test.ts</t>
        </is>
      </c>
      <c r="I107" s="31" t="inlineStr">
        <is>
          <t>—</t>
        </is>
      </c>
      <c r="J107" s="31" t="inlineStr">
        <is>
          <t>P1-01</t>
        </is>
      </c>
      <c r="K107" s="31" t="inlineStr">
        <is>
          <t>P1</t>
        </is>
      </c>
      <c r="L107" s="31" t="inlineStr">
        <is>
          <t>S</t>
        </is>
      </c>
      <c r="M107" s="30" t="inlineStr">
        <is>
          <t>قيد المراجعة</t>
        </is>
      </c>
      <c r="N107" s="30" t="inlineStr">
        <is>
          <t>المستخدم</t>
        </is>
      </c>
      <c r="O107" s="30" t="inlineStr">
        <is>
          <t>A-user (منفّذ)</t>
        </is>
      </c>
      <c r="P107" s="43">
        <f>IFERROR(INDEX(WorkPackages!$H$5:$H$40,MATCH(B107,WorkPackages!$A$5:$A$40,0)),"")</f>
        <v/>
      </c>
      <c r="Q107" s="42" t="n"/>
      <c r="R107" s="42" t="n"/>
      <c r="S107" s="30" t="inlineStr">
        <is>
          <t>لا</t>
        </is>
      </c>
      <c r="T107" s="30" t="inlineStr">
        <is>
          <t>نفّذه المستخدم (wp-p1-w2-files.zip)؛ بانتظار npm run validate محليًا</t>
        </is>
      </c>
      <c r="U107" s="31" t="inlineStr">
        <is>
          <t>لا</t>
        </is>
      </c>
      <c r="V107" s="31" t="inlineStr">
        <is>
          <t>منفّذ — قيد المراجعة</t>
        </is>
      </c>
      <c r="W107" s="31" t="n"/>
      <c r="X107" s="43">
        <f>IF(W107="","—",IFERROR(IF(INDEX(BackendChecklist!$H$5:$H$30,MATCH(W107,BackendChecklist!$A$5:$A$30,0))="نعم","جاهز للبدء",IF(V107="الآن (بنمط seam)","يبدأ بنمط seam — الربط ينتظر","ينتظر الباك اند")),"؟"))</f>
        <v/>
      </c>
    </row>
    <row r="108" ht="42" customHeight="1" s="26">
      <c r="A108" s="41" t="inlineStr">
        <is>
          <t>W1-01</t>
        </is>
      </c>
      <c r="B108" s="31" t="inlineStr">
        <is>
          <t>WP-W1</t>
        </is>
      </c>
      <c r="C108" s="43">
        <f>IFERROR(INDEX(WorkPackages!$C$5:$C$40,MATCH(B108,WorkPackages!$A$5:$A$40,0)),"")</f>
        <v/>
      </c>
      <c r="D108" s="31" t="inlineStr">
        <is>
          <t>FR-W03a</t>
        </is>
      </c>
      <c r="E108" s="31" t="inlineStr">
        <is>
          <t>UI</t>
        </is>
      </c>
      <c r="F108" s="31" t="inlineStr">
        <is>
          <t>بطاقة حالة دفع الحجز</t>
        </is>
      </c>
      <c r="G108" s="31" t="inlineStr">
        <is>
          <t>Student/BookingPayment: حالة الدفع/المبلغ/تاريخ الخصم/ربط بحركة المحفظة. شكل الرد من Q-05.</t>
        </is>
      </c>
      <c r="H108" s="31" t="inlineStr">
        <is>
          <t>components/student/booking-payment-card.tsx</t>
        </is>
      </c>
      <c r="I108" s="31" t="inlineStr">
        <is>
          <t>Student/BookingPayment</t>
        </is>
      </c>
      <c r="J108" s="31" t="inlineStr">
        <is>
          <t>WP-00</t>
        </is>
      </c>
      <c r="K108" s="31" t="inlineStr">
        <is>
          <t>P0</t>
        </is>
      </c>
      <c r="L108" s="31" t="inlineStr">
        <is>
          <t>M</t>
        </is>
      </c>
      <c r="M108" s="30" t="inlineStr">
        <is>
          <t>لم يبدأ</t>
        </is>
      </c>
      <c r="N108" s="30" t="n"/>
      <c r="O108" s="30" t="n"/>
      <c r="P108" s="43">
        <f>IFERROR(INDEX(WorkPackages!$H$5:$H$40,MATCH(B108,WorkPackages!$A$5:$A$40,0)),"")</f>
        <v/>
      </c>
      <c r="Q108" s="42" t="n"/>
      <c r="R108" s="42" t="n"/>
      <c r="S108" s="30" t="inlineStr">
        <is>
          <t>لا</t>
        </is>
      </c>
      <c r="T108" s="30" t="n"/>
      <c r="U108" s="31" t="inlineStr">
        <is>
          <t>نعم</t>
        </is>
      </c>
      <c r="V108" s="31" t="inlineStr">
        <is>
          <t>بعد JSON</t>
        </is>
      </c>
      <c r="W108" s="31" t="inlineStr">
        <is>
          <t>NE-03</t>
        </is>
      </c>
      <c r="X108" s="43">
        <f>IF(W108="","—",IFERROR(IF(INDEX(BackendChecklist!$H$5:$H$30,MATCH(W108,BackendChecklist!$A$5:$A$30,0))="نعم","جاهز للبدء",IF(V108="الآن (بنمط seam)","يبدأ بنمط seam — الربط ينتظر","ينتظر الباك اند")),"؟"))</f>
        <v/>
      </c>
    </row>
    <row r="109" ht="42" customHeight="1" s="26">
      <c r="A109" s="41" t="inlineStr">
        <is>
          <t>W1-02</t>
        </is>
      </c>
      <c r="B109" s="31" t="inlineStr">
        <is>
          <t>WP-W1</t>
        </is>
      </c>
      <c r="C109" s="43">
        <f>IFERROR(INDEX(WorkPackages!$C$5:$C$40,MATCH(B109,WorkPackages!$A$5:$A$40,0)),"")</f>
        <v/>
      </c>
      <c r="D109" s="31" t="inlineStr">
        <is>
          <t>FR-W03a</t>
        </is>
      </c>
      <c r="E109" s="31" t="inlineStr">
        <is>
          <t>UI</t>
        </is>
      </c>
      <c r="F109" s="31" t="inlineStr">
        <is>
          <t>تنبيه الرصيد غير الكافي</t>
        </is>
      </c>
      <c r="G109" s="31" t="inlineStr">
        <is>
          <t>InsufficientBalanceAlert {required, balance} + CTA إلى /wallet (يستهلكه WP-S1/S2).</t>
        </is>
      </c>
      <c r="H109" s="31" t="inlineStr">
        <is>
          <t>components/wallet/insufficient-balance-alert.tsx</t>
        </is>
      </c>
      <c r="I109" s="31" t="inlineStr">
        <is>
          <t>—</t>
        </is>
      </c>
      <c r="J109" s="31" t="inlineStr">
        <is>
          <t>WP-00</t>
        </is>
      </c>
      <c r="K109" s="31" t="inlineStr">
        <is>
          <t>P0</t>
        </is>
      </c>
      <c r="L109" s="31" t="inlineStr">
        <is>
          <t>S</t>
        </is>
      </c>
      <c r="M109" s="30" t="inlineStr">
        <is>
          <t>قيد المراجعة</t>
        </is>
      </c>
      <c r="N109" s="30" t="inlineStr">
        <is>
          <t>المستخدم</t>
        </is>
      </c>
      <c r="O109" s="30" t="inlineStr">
        <is>
          <t>A-user (منفّذ)</t>
        </is>
      </c>
      <c r="P109" s="43">
        <f>IFERROR(INDEX(WorkPackages!$H$5:$H$40,MATCH(B109,WorkPackages!$A$5:$A$40,0)),"")</f>
        <v/>
      </c>
      <c r="Q109" s="42" t="n"/>
      <c r="R109" s="42" t="n"/>
      <c r="S109" s="30" t="inlineStr">
        <is>
          <t>لا</t>
        </is>
      </c>
      <c r="T109" s="30" t="inlineStr">
        <is>
          <t>نفّذه المستخدم (wave1-half-claude-files.zip)؛ بانتظار validate</t>
        </is>
      </c>
      <c r="U109" s="31" t="inlineStr">
        <is>
          <t>لا</t>
        </is>
      </c>
      <c r="V109" s="31" t="inlineStr">
        <is>
          <t>منفّذ — قيد المراجعة</t>
        </is>
      </c>
      <c r="W109" s="31" t="n"/>
      <c r="X109" s="43">
        <f>IF(W109="","—",IFERROR(IF(INDEX(BackendChecklist!$H$5:$H$30,MATCH(W109,BackendChecklist!$A$5:$A$30,0))="نعم","جاهز للبدء",IF(V109="الآن (بنمط seam)","يبدأ بنمط seam — الربط ينتظر","ينتظر الباك اند")),"؟"))</f>
        <v/>
      </c>
    </row>
    <row r="110" ht="42" customHeight="1" s="26">
      <c r="A110" s="41" t="inlineStr">
        <is>
          <t>W1-03</t>
        </is>
      </c>
      <c r="B110" s="31" t="inlineStr">
        <is>
          <t>WP-W1</t>
        </is>
      </c>
      <c r="C110" s="43">
        <f>IFERROR(INDEX(WorkPackages!$C$5:$C$40,MATCH(B110,WorkPackages!$A$5:$A$40,0)),"")</f>
        <v/>
      </c>
      <c r="D110" s="31" t="inlineStr">
        <is>
          <t>FR-W03a</t>
        </is>
      </c>
      <c r="E110" s="31" t="inlineStr">
        <is>
          <t>UI</t>
        </is>
      </c>
      <c r="F110" s="31" t="inlineStr">
        <is>
          <t>وضوح حركات الخصم في سجل المحفظة</t>
        </is>
      </c>
      <c r="G110" s="31" t="inlineStr">
        <is>
          <t>عرض الوصف + شارة الاتجاه والنوع «خصم اشتراك/حجز»؛ بدون اختراع ربط غير موجود بالـ DTO.</t>
        </is>
      </c>
      <c r="H110" s="31" t="inlineStr">
        <is>
          <t>components/wallet/wallet-balance-panel.tsx</t>
        </is>
      </c>
      <c r="I110" s="31" t="inlineStr">
        <is>
          <t>Wallet/GetTransactionHistory</t>
        </is>
      </c>
      <c r="J110" s="31" t="inlineStr">
        <is>
          <t>WP-00</t>
        </is>
      </c>
      <c r="K110" s="31" t="inlineStr">
        <is>
          <t>P1</t>
        </is>
      </c>
      <c r="L110" s="31" t="inlineStr">
        <is>
          <t>S</t>
        </is>
      </c>
      <c r="M110" s="30" t="inlineStr">
        <is>
          <t>قيد المراجعة</t>
        </is>
      </c>
      <c r="N110" s="30" t="inlineStr">
        <is>
          <t>المستخدم</t>
        </is>
      </c>
      <c r="O110" s="30" t="inlineStr">
        <is>
          <t>A-user (منفّذ)</t>
        </is>
      </c>
      <c r="P110" s="43">
        <f>IFERROR(INDEX(WorkPackages!$H$5:$H$40,MATCH(B110,WorkPackages!$A$5:$A$40,0)),"")</f>
        <v/>
      </c>
      <c r="Q110" s="42" t="n"/>
      <c r="R110" s="42" t="n"/>
      <c r="S110" s="30" t="inlineStr">
        <is>
          <t>لا</t>
        </is>
      </c>
      <c r="T110" s="30" t="inlineStr">
        <is>
          <t>نفّذه المستخدم (wave1-half-claude-files.zip)؛ بانتظار validate</t>
        </is>
      </c>
      <c r="U110" s="31" t="inlineStr">
        <is>
          <t>لا</t>
        </is>
      </c>
      <c r="V110" s="31" t="inlineStr">
        <is>
          <t>منفّذ — قيد المراجعة</t>
        </is>
      </c>
      <c r="W110" s="31" t="n"/>
      <c r="X110" s="43">
        <f>IF(W110="","—",IFERROR(IF(INDEX(BackendChecklist!$H$5:$H$30,MATCH(W110,BackendChecklist!$A$5:$A$30,0))="نعم","جاهز للبدء",IF(V110="الآن (بنمط seam)","يبدأ بنمط seam — الربط ينتظر","ينتظر الباك اند")),"؟"))</f>
        <v/>
      </c>
    </row>
    <row r="111" ht="42" customHeight="1" s="26">
      <c r="A111" s="41" t="inlineStr">
        <is>
          <t>W1-04</t>
        </is>
      </c>
      <c r="B111" s="31" t="inlineStr">
        <is>
          <t>WP-W1</t>
        </is>
      </c>
      <c r="C111" s="43">
        <f>IFERROR(INDEX(WorkPackages!$C$5:$C$40,MATCH(B111,WorkPackages!$A$5:$A$40,0)),"")</f>
        <v/>
      </c>
      <c r="D111" s="31" t="inlineStr">
        <is>
          <t>FR-W03a</t>
        </is>
      </c>
      <c r="E111" s="31" t="inlineStr">
        <is>
          <t>UI</t>
        </is>
      </c>
      <c r="F111" s="31" t="inlineStr">
        <is>
          <t>شرح الخصم بصفحة المحفظة</t>
        </is>
      </c>
      <c r="G111" s="31" t="inlineStr">
        <is>
          <t>نص توضيحي صادق عن متى يُخصم المبلغ (حسب Q-06/Q-19) + رابط لطلبات الحجز.</t>
        </is>
      </c>
      <c r="H111" s="31" t="inlineStr">
        <is>
          <t>routes/_authenticated/wallet.tsx</t>
        </is>
      </c>
      <c r="I111" s="31" t="inlineStr">
        <is>
          <t>—</t>
        </is>
      </c>
      <c r="J111" s="31" t="inlineStr">
        <is>
          <t>W1-03</t>
        </is>
      </c>
      <c r="K111" s="31" t="inlineStr">
        <is>
          <t>P2</t>
        </is>
      </c>
      <c r="L111" s="31" t="inlineStr">
        <is>
          <t>S</t>
        </is>
      </c>
      <c r="M111" s="30" t="inlineStr">
        <is>
          <t>قيد المراجعة</t>
        </is>
      </c>
      <c r="N111" s="30" t="inlineStr">
        <is>
          <t>المستخدم</t>
        </is>
      </c>
      <c r="O111" s="30" t="inlineStr">
        <is>
          <t>A-user (منفّذ)</t>
        </is>
      </c>
      <c r="P111" s="43">
        <f>IFERROR(INDEX(WorkPackages!$H$5:$H$40,MATCH(B111,WorkPackages!$A$5:$A$40,0)),"")</f>
        <v/>
      </c>
      <c r="Q111" s="42" t="n"/>
      <c r="R111" s="42" t="n"/>
      <c r="S111" s="30" t="inlineStr">
        <is>
          <t>لا</t>
        </is>
      </c>
      <c r="T111" s="30" t="inlineStr">
        <is>
          <t>نفّذه المستخدم (wave1-half-claude-files.zip)؛ بانتظار validate</t>
        </is>
      </c>
      <c r="U111" s="31" t="inlineStr">
        <is>
          <t>لا</t>
        </is>
      </c>
      <c r="V111" s="31" t="inlineStr">
        <is>
          <t>منفّذ — قيد المراجعة</t>
        </is>
      </c>
      <c r="W111" s="31" t="n"/>
      <c r="X111" s="43">
        <f>IF(W111="","—",IFERROR(IF(INDEX(BackendChecklist!$H$5:$H$30,MATCH(W111,BackendChecklist!$A$5:$A$30,0))="نعم","جاهز للبدء",IF(V111="الآن (بنمط seam)","يبدأ بنمط seam — الربط ينتظر","ينتظر الباك اند")),"؟"))</f>
        <v/>
      </c>
    </row>
    <row r="112" ht="42" customHeight="1" s="26">
      <c r="A112" s="41" t="inlineStr">
        <is>
          <t>W1-05</t>
        </is>
      </c>
      <c r="B112" s="31" t="inlineStr">
        <is>
          <t>WP-W1</t>
        </is>
      </c>
      <c r="C112" s="43">
        <f>IFERROR(INDEX(WorkPackages!$C$5:$C$40,MATCH(B112,WorkPackages!$A$5:$A$40,0)),"")</f>
        <v/>
      </c>
      <c r="D112" s="31" t="inlineStr">
        <is>
          <t>FR-W03a</t>
        </is>
      </c>
      <c r="E112" s="31" t="inlineStr">
        <is>
          <t>Test</t>
        </is>
      </c>
      <c r="F112" s="31" t="inlineStr">
        <is>
          <t>اختبارات</t>
        </is>
      </c>
      <c r="G112" s="31" t="inlineStr">
        <is>
          <t>حالات البطاقة (مدفوع/معلّق/رصيد غير كافٍ).</t>
        </is>
      </c>
      <c r="H112" s="31" t="inlineStr">
        <is>
          <t>components/student/booking-payment-card.test.ts</t>
        </is>
      </c>
      <c r="I112" s="31" t="inlineStr">
        <is>
          <t>—</t>
        </is>
      </c>
      <c r="J112" s="31" t="inlineStr">
        <is>
          <t>W1-01</t>
        </is>
      </c>
      <c r="K112" s="31" t="inlineStr">
        <is>
          <t>P1</t>
        </is>
      </c>
      <c r="L112" s="31" t="inlineStr">
        <is>
          <t>S</t>
        </is>
      </c>
      <c r="M112" s="30" t="inlineStr">
        <is>
          <t>لم يبدأ</t>
        </is>
      </c>
      <c r="N112" s="30" t="n"/>
      <c r="O112" s="30" t="n"/>
      <c r="P112" s="43">
        <f>IFERROR(INDEX(WorkPackages!$H$5:$H$40,MATCH(B112,WorkPackages!$A$5:$A$40,0)),"")</f>
        <v/>
      </c>
      <c r="Q112" s="42" t="n"/>
      <c r="R112" s="42" t="n"/>
      <c r="S112" s="30" t="inlineStr">
        <is>
          <t>لا</t>
        </is>
      </c>
      <c r="T112" s="30" t="n"/>
      <c r="U112" s="31" t="inlineStr">
        <is>
          <t>نعم</t>
        </is>
      </c>
      <c r="V112" s="31" t="inlineStr">
        <is>
          <t>بعد JSON</t>
        </is>
      </c>
      <c r="W112" s="31" t="inlineStr">
        <is>
          <t>NE-03</t>
        </is>
      </c>
      <c r="X112" s="43">
        <f>IF(W112="","—",IFERROR(IF(INDEX(BackendChecklist!$H$5:$H$30,MATCH(W112,BackendChecklist!$A$5:$A$30,0))="نعم","جاهز للبدء",IF(V112="الآن (بنمط seam)","يبدأ بنمط seam — الربط ينتظر","ينتظر الباك اند")),"؟"))</f>
        <v/>
      </c>
    </row>
    <row r="113" ht="42" customHeight="1" s="26">
      <c r="A113" s="41" t="inlineStr">
        <is>
          <t>W2-01</t>
        </is>
      </c>
      <c r="B113" s="31" t="inlineStr">
        <is>
          <t>WP-W2</t>
        </is>
      </c>
      <c r="C113" s="43">
        <f>IFERROR(INDEX(WorkPackages!$C$5:$C$40,MATCH(B113,WorkPackages!$A$5:$A$40,0)),"")</f>
        <v/>
      </c>
      <c r="D113" s="31" t="inlineStr">
        <is>
          <t>FR-W03b</t>
        </is>
      </c>
      <c r="E113" s="31" t="inlineStr">
        <is>
          <t>UI</t>
        </is>
      </c>
      <c r="F113" s="31" t="inlineStr">
        <is>
          <t>لوحة «آخر إيداعات الأرباح»</t>
        </is>
      </c>
      <c r="G113" s="31" t="inlineStr">
        <is>
          <t>من آخر 50 حركة (getTransactionHistory) → فلترة type=InstructorCredit محليًا مع تسمية صريحة «من آخر 50 حركة» (لا ملخصات كاذبة).</t>
        </is>
      </c>
      <c r="H113" s="31" t="inlineStr">
        <is>
          <t>routes/_authenticated/teacher.earnings.tsx</t>
        </is>
      </c>
      <c r="I113" s="31" t="inlineStr">
        <is>
          <t>Wallet/GetTransactionHistory</t>
        </is>
      </c>
      <c r="J113" s="31" t="inlineStr">
        <is>
          <t>WP-00</t>
        </is>
      </c>
      <c r="K113" s="31" t="inlineStr">
        <is>
          <t>P0</t>
        </is>
      </c>
      <c r="L113" s="31" t="inlineStr">
        <is>
          <t>M</t>
        </is>
      </c>
      <c r="M113" s="30" t="inlineStr">
        <is>
          <t>قيد المراجعة</t>
        </is>
      </c>
      <c r="N113" s="30" t="inlineStr">
        <is>
          <t>المستخدم</t>
        </is>
      </c>
      <c r="O113" s="30" t="inlineStr">
        <is>
          <t>A-user (منفّذ)</t>
        </is>
      </c>
      <c r="P113" s="43">
        <f>IFERROR(INDEX(WorkPackages!$H$5:$H$40,MATCH(B113,WorkPackages!$A$5:$A$40,0)),"")</f>
        <v/>
      </c>
      <c r="Q113" s="42" t="n"/>
      <c r="R113" s="42" t="n"/>
      <c r="S113" s="30" t="inlineStr">
        <is>
          <t>لا</t>
        </is>
      </c>
      <c r="T113" s="30" t="inlineStr">
        <is>
          <t>نفّذه المستخدم (wp-p1-w2-files.zip)؛ بانتظار npm run validate محليًا</t>
        </is>
      </c>
      <c r="U113" s="31" t="inlineStr">
        <is>
          <t>لا</t>
        </is>
      </c>
      <c r="V113" s="31" t="inlineStr">
        <is>
          <t>منفّذ — قيد المراجعة</t>
        </is>
      </c>
      <c r="W113" s="31" t="n"/>
      <c r="X113" s="43">
        <f>IF(W113="","—",IFERROR(IF(INDEX(BackendChecklist!$H$5:$H$30,MATCH(W113,BackendChecklist!$A$5:$A$30,0))="نعم","جاهز للبدء",IF(V113="الآن (بنمط seam)","يبدأ بنمط seam — الربط ينتظر","ينتظر الباك اند")),"؟"))</f>
        <v/>
      </c>
    </row>
    <row r="114" ht="42" customHeight="1" s="26">
      <c r="A114" s="41" t="inlineStr">
        <is>
          <t>W2-02</t>
        </is>
      </c>
      <c r="B114" s="31" t="inlineStr">
        <is>
          <t>WP-W2</t>
        </is>
      </c>
      <c r="C114" s="43">
        <f>IFERROR(INDEX(WorkPackages!$C$5:$C$40,MATCH(B114,WorkPackages!$A$5:$A$40,0)),"")</f>
        <v/>
      </c>
      <c r="D114" s="31" t="inlineStr">
        <is>
          <t>FR-W03b</t>
        </is>
      </c>
      <c r="E114" s="31" t="inlineStr">
        <is>
          <t>UI</t>
        </is>
      </c>
      <c r="F114" s="31" t="inlineStr">
        <is>
          <t>توضيح العمولة</t>
        </is>
      </c>
      <c r="G114" s="31" t="inlineStr">
        <is>
          <t>نص: المبلغ المودَع = الرسوم − عمولة المنصة (SRS FR-W03b). لا تعرض نسبة أو رقمًا غير مصدره الباك اند (Q-12).</t>
        </is>
      </c>
      <c r="H114" s="31" t="inlineStr">
        <is>
          <t>routes/_authenticated/teacher.earnings.tsx</t>
        </is>
      </c>
      <c r="I114" s="31" t="inlineStr">
        <is>
          <t>—</t>
        </is>
      </c>
      <c r="J114" s="31" t="inlineStr">
        <is>
          <t>W2-01</t>
        </is>
      </c>
      <c r="K114" s="31" t="inlineStr">
        <is>
          <t>P1</t>
        </is>
      </c>
      <c r="L114" s="31" t="inlineStr">
        <is>
          <t>S</t>
        </is>
      </c>
      <c r="M114" s="30" t="inlineStr">
        <is>
          <t>قيد المراجعة</t>
        </is>
      </c>
      <c r="N114" s="30" t="inlineStr">
        <is>
          <t>المستخدم</t>
        </is>
      </c>
      <c r="O114" s="30" t="inlineStr">
        <is>
          <t>A-user (منفّذ)</t>
        </is>
      </c>
      <c r="P114" s="43">
        <f>IFERROR(INDEX(WorkPackages!$H$5:$H$40,MATCH(B114,WorkPackages!$A$5:$A$40,0)),"")</f>
        <v/>
      </c>
      <c r="Q114" s="42" t="n"/>
      <c r="R114" s="42" t="n"/>
      <c r="S114" s="30" t="inlineStr">
        <is>
          <t>لا</t>
        </is>
      </c>
      <c r="T114" s="30" t="inlineStr">
        <is>
          <t>نفّذه المستخدم (wp-p1-w2-files.zip)؛ بانتظار npm run validate محليًا</t>
        </is>
      </c>
      <c r="U114" s="31" t="inlineStr">
        <is>
          <t>لا</t>
        </is>
      </c>
      <c r="V114" s="31" t="inlineStr">
        <is>
          <t>منفّذ — قيد المراجعة</t>
        </is>
      </c>
      <c r="W114" s="31" t="n"/>
      <c r="X114" s="43">
        <f>IF(W114="","—",IFERROR(IF(INDEX(BackendChecklist!$H$5:$H$30,MATCH(W114,BackendChecklist!$A$5:$A$30,0))="نعم","جاهز للبدء",IF(V114="الآن (بنمط seam)","يبدأ بنمط seam — الربط ينتظر","ينتظر الباك اند")),"؟"))</f>
        <v/>
      </c>
    </row>
    <row r="115" ht="42" customHeight="1" s="26">
      <c r="A115" s="41" t="inlineStr">
        <is>
          <t>W2-03</t>
        </is>
      </c>
      <c r="B115" s="31" t="inlineStr">
        <is>
          <t>WP-W2</t>
        </is>
      </c>
      <c r="C115" s="43">
        <f>IFERROR(INDEX(WorkPackages!$C$5:$C$40,MATCH(B115,WorkPackages!$A$5:$A$40,0)),"")</f>
        <v/>
      </c>
      <c r="D115" s="31" t="inlineStr">
        <is>
          <t>FR-W03b</t>
        </is>
      </c>
      <c r="E115" s="31" t="inlineStr">
        <is>
          <t>UI</t>
        </is>
      </c>
      <c r="F115" s="31" t="inlineStr">
        <is>
          <t>حالات طلبات السحب</t>
        </is>
      </c>
      <c r="G115" s="31" t="inlineStr">
        <is>
          <t>توضيح مراحل السحب (قيد المراجعة → موافق → مكتمل) في الواجهة دون endpoint جديد.</t>
        </is>
      </c>
      <c r="H115" s="31" t="inlineStr">
        <is>
          <t>routes/_authenticated/teacher.earnings.tsx</t>
        </is>
      </c>
      <c r="I115" s="31" t="inlineStr">
        <is>
          <t>—</t>
        </is>
      </c>
      <c r="J115" s="31" t="inlineStr">
        <is>
          <t>W2-01</t>
        </is>
      </c>
      <c r="K115" s="31" t="inlineStr">
        <is>
          <t>P2</t>
        </is>
      </c>
      <c r="L115" s="31" t="inlineStr">
        <is>
          <t>S</t>
        </is>
      </c>
      <c r="M115" s="30" t="inlineStr">
        <is>
          <t>قيد المراجعة</t>
        </is>
      </c>
      <c r="N115" s="30" t="inlineStr">
        <is>
          <t>المستخدم</t>
        </is>
      </c>
      <c r="O115" s="30" t="inlineStr">
        <is>
          <t>A-user (منفّذ)</t>
        </is>
      </c>
      <c r="P115" s="43">
        <f>IFERROR(INDEX(WorkPackages!$H$5:$H$40,MATCH(B115,WorkPackages!$A$5:$A$40,0)),"")</f>
        <v/>
      </c>
      <c r="Q115" s="42" t="n"/>
      <c r="R115" s="42" t="n"/>
      <c r="S115" s="30" t="inlineStr">
        <is>
          <t>لا</t>
        </is>
      </c>
      <c r="T115" s="30" t="inlineStr">
        <is>
          <t>نفّذه المستخدم (wp-p1-w2-files.zip)؛ بانتظار npm run validate محليًا</t>
        </is>
      </c>
      <c r="U115" s="31" t="inlineStr">
        <is>
          <t>لا</t>
        </is>
      </c>
      <c r="V115" s="31" t="inlineStr">
        <is>
          <t>منفّذ — قيد المراجعة</t>
        </is>
      </c>
      <c r="W115" s="31" t="n"/>
      <c r="X115" s="43">
        <f>IF(W115="","—",IFERROR(IF(INDEX(BackendChecklist!$H$5:$H$30,MATCH(W115,BackendChecklist!$A$5:$A$30,0))="نعم","جاهز للبدء",IF(V115="الآن (بنمط seam)","يبدأ بنمط seam — الربط ينتظر","ينتظر الباك اند")),"؟"))</f>
        <v/>
      </c>
    </row>
    <row r="116" ht="42" customHeight="1" s="26">
      <c r="A116" s="41" t="inlineStr">
        <is>
          <t>W2-04</t>
        </is>
      </c>
      <c r="B116" s="31" t="inlineStr">
        <is>
          <t>WP-W2</t>
        </is>
      </c>
      <c r="C116" s="43">
        <f>IFERROR(INDEX(WorkPackages!$C$5:$C$40,MATCH(B116,WorkPackages!$A$5:$A$40,0)),"")</f>
        <v/>
      </c>
      <c r="D116" s="31" t="inlineStr">
        <is>
          <t>FR-W03b</t>
        </is>
      </c>
      <c r="E116" s="31" t="inlineStr">
        <is>
          <t>Test</t>
        </is>
      </c>
      <c r="F116" s="31" t="inlineStr">
        <is>
          <t>اختبارات</t>
        </is>
      </c>
      <c r="G116" s="31" t="inlineStr">
        <is>
          <t>فلترة الإيداعات.</t>
        </is>
      </c>
      <c r="H116" s="31" t="inlineStr">
        <is>
          <t>test-units/teacher.earnings.test.ts</t>
        </is>
      </c>
      <c r="I116" s="31" t="inlineStr">
        <is>
          <t>—</t>
        </is>
      </c>
      <c r="J116" s="31" t="inlineStr">
        <is>
          <t>W2-01</t>
        </is>
      </c>
      <c r="K116" s="31" t="inlineStr">
        <is>
          <t>P1</t>
        </is>
      </c>
      <c r="L116" s="31" t="inlineStr">
        <is>
          <t>S</t>
        </is>
      </c>
      <c r="M116" s="30" t="inlineStr">
        <is>
          <t>قيد المراجعة</t>
        </is>
      </c>
      <c r="N116" s="30" t="inlineStr">
        <is>
          <t>المستخدم</t>
        </is>
      </c>
      <c r="O116" s="30" t="inlineStr">
        <is>
          <t>A-user (منفّذ)</t>
        </is>
      </c>
      <c r="P116" s="43">
        <f>IFERROR(INDEX(WorkPackages!$H$5:$H$40,MATCH(B116,WorkPackages!$A$5:$A$40,0)),"")</f>
        <v/>
      </c>
      <c r="Q116" s="42" t="n"/>
      <c r="R116" s="42" t="n"/>
      <c r="S116" s="30" t="inlineStr">
        <is>
          <t>لا</t>
        </is>
      </c>
      <c r="T116" s="30" t="inlineStr">
        <is>
          <t>نفّذه المستخدم (wp-p1-w2-files.zip)؛ بانتظار npm run validate محليًا</t>
        </is>
      </c>
      <c r="U116" s="31" t="inlineStr">
        <is>
          <t>لا</t>
        </is>
      </c>
      <c r="V116" s="31" t="inlineStr">
        <is>
          <t>منفّذ — قيد المراجعة</t>
        </is>
      </c>
      <c r="W116" s="31" t="n"/>
      <c r="X116" s="43">
        <f>IF(W116="","—",IFERROR(IF(INDEX(BackendChecklist!$H$5:$H$30,MATCH(W116,BackendChecklist!$A$5:$A$30,0))="نعم","جاهز للبدء",IF(V116="الآن (بنمط seam)","يبدأ بنمط seam — الربط ينتظر","ينتظر الباك اند")),"؟"))</f>
        <v/>
      </c>
    </row>
    <row r="117" ht="42" customHeight="1" s="26">
      <c r="A117" s="41" t="inlineStr">
        <is>
          <t>QA-01</t>
        </is>
      </c>
      <c r="B117" s="31" t="inlineStr">
        <is>
          <t>WP-QA</t>
        </is>
      </c>
      <c r="C117" s="43">
        <f>IFERROR(INDEX(WorkPackages!$C$5:$C$40,MATCH(B117,WorkPackages!$A$5:$A$40,0)),"")</f>
        <v/>
      </c>
      <c r="D117" s="31" t="inlineStr">
        <is>
          <t>عام</t>
        </is>
      </c>
      <c r="E117" s="31" t="inlineStr">
        <is>
          <t>Build</t>
        </is>
      </c>
      <c r="F117" s="31" t="inlineStr">
        <is>
          <t>npm run validate أخضر + routeTree</t>
        </is>
      </c>
      <c r="G117" s="31" t="inlineStr">
        <is>
          <t>typecheck + lint + format:check + test. إعادة توليد routeTree إن لزم (هذا الـ WP وWP-00 فقط).</t>
        </is>
      </c>
      <c r="H117" s="31" t="inlineStr">
        <is>
          <t>routeTree.gen.ts</t>
        </is>
      </c>
      <c r="I117" s="31" t="inlineStr">
        <is>
          <t>—</t>
        </is>
      </c>
      <c r="J117" s="31" t="inlineStr">
        <is>
          <t>كل Wave 1</t>
        </is>
      </c>
      <c r="K117" s="31" t="inlineStr">
        <is>
          <t>P0</t>
        </is>
      </c>
      <c r="L117" s="31" t="inlineStr">
        <is>
          <t>M</t>
        </is>
      </c>
      <c r="M117" s="30" t="inlineStr">
        <is>
          <t>لم يبدأ</t>
        </is>
      </c>
      <c r="N117" s="30" t="n"/>
      <c r="O117" s="30" t="n"/>
      <c r="P117" s="43">
        <f>IFERROR(INDEX(WorkPackages!$H$5:$H$40,MATCH(B117,WorkPackages!$A$5:$A$40,0)),"")</f>
        <v/>
      </c>
      <c r="Q117" s="42" t="n"/>
      <c r="R117" s="42" t="n"/>
      <c r="S117" s="30" t="inlineStr">
        <is>
          <t>لا</t>
        </is>
      </c>
      <c r="T117" s="30" t="n"/>
      <c r="U117" s="31" t="inlineStr">
        <is>
          <t>لا</t>
        </is>
      </c>
      <c r="V117" s="31" t="inlineStr">
        <is>
          <t>Wave 2 (بعد Wave 1)</t>
        </is>
      </c>
      <c r="W117" s="31" t="n"/>
      <c r="X117" s="43">
        <f>IF(W117="","—",IFERROR(IF(INDEX(BackendChecklist!$H$5:$H$30,MATCH(W117,BackendChecklist!$A$5:$A$30,0))="نعم","جاهز للبدء",IF(V117="الآن (بنمط seam)","يبدأ بنمط seam — الربط ينتظر","ينتظر الباك اند")),"؟"))</f>
        <v/>
      </c>
    </row>
    <row r="118" ht="42" customHeight="1" s="26">
      <c r="A118" s="41" t="inlineStr">
        <is>
          <t>QA-02</t>
        </is>
      </c>
      <c r="B118" s="31" t="inlineStr">
        <is>
          <t>WP-QA</t>
        </is>
      </c>
      <c r="C118" s="43">
        <f>IFERROR(INDEX(WorkPackages!$C$5:$C$40,MATCH(B118,WorkPackages!$A$5:$A$40,0)),"")</f>
        <v/>
      </c>
      <c r="D118" s="31" t="inlineStr">
        <is>
          <t>عام</t>
        </is>
      </c>
      <c r="E118" s="31" t="inlineStr">
        <is>
          <t>Test</t>
        </is>
      </c>
      <c r="F118" s="31" t="inlineStr">
        <is>
          <t>اختبارات e2e (Playwright)</t>
        </is>
      </c>
      <c r="G118" s="31" t="inlineStr">
        <is>
          <t>مسارات: معلم (كورس→مجموعة→درس) | طالب (حجز→قبول المعلم→إلغاء/إعادة جدولة/تقييم) | ولي أمر. يتطلب حسابات اختبار (Q-17).</t>
        </is>
      </c>
      <c r="H118" s="31" t="inlineStr">
        <is>
          <t>e2e/*.spec.ts</t>
        </is>
      </c>
      <c r="I118" s="31" t="inlineStr">
        <is>
          <t>—</t>
        </is>
      </c>
      <c r="J118" s="31" t="inlineStr">
        <is>
          <t>QA-01</t>
        </is>
      </c>
      <c r="K118" s="31" t="inlineStr">
        <is>
          <t>P1</t>
        </is>
      </c>
      <c r="L118" s="31" t="inlineStr">
        <is>
          <t>L</t>
        </is>
      </c>
      <c r="M118" s="30" t="inlineStr">
        <is>
          <t>لم يبدأ</t>
        </is>
      </c>
      <c r="N118" s="30" t="n"/>
      <c r="O118" s="30" t="n"/>
      <c r="P118" s="43">
        <f>IFERROR(INDEX(WorkPackages!$H$5:$H$40,MATCH(B118,WorkPackages!$A$5:$A$40,0)),"")</f>
        <v/>
      </c>
      <c r="Q118" s="42" t="n"/>
      <c r="R118" s="42" t="n"/>
      <c r="S118" s="30" t="inlineStr">
        <is>
          <t>لا</t>
        </is>
      </c>
      <c r="T118" s="30" t="n"/>
      <c r="U118" s="31" t="inlineStr">
        <is>
          <t>لا</t>
        </is>
      </c>
      <c r="V118" s="31" t="inlineStr">
        <is>
          <t>Wave 2 (بعد Wave 1)</t>
        </is>
      </c>
      <c r="W118" s="31" t="n"/>
      <c r="X118" s="43">
        <f>IF(W118="","—",IFERROR(IF(INDEX(BackendChecklist!$H$5:$H$30,MATCH(W118,BackendChecklist!$A$5:$A$30,0))="نعم","جاهز للبدء",IF(V118="الآن (بنمط seam)","يبدأ بنمط seam — الربط ينتظر","ينتظر الباك اند")),"؟"))</f>
        <v/>
      </c>
    </row>
    <row r="119" ht="42" customHeight="1" s="26">
      <c r="A119" s="41" t="inlineStr">
        <is>
          <t>QA-03</t>
        </is>
      </c>
      <c r="B119" s="31" t="inlineStr">
        <is>
          <t>WP-QA</t>
        </is>
      </c>
      <c r="C119" s="43">
        <f>IFERROR(INDEX(WorkPackages!$C$5:$C$40,MATCH(B119,WorkPackages!$A$5:$A$40,0)),"")</f>
        <v/>
      </c>
      <c r="D119" s="31" t="inlineStr">
        <is>
          <t>عام</t>
        </is>
      </c>
      <c r="E119" s="31" t="inlineStr">
        <is>
          <t>UAT</t>
        </is>
      </c>
      <c r="F119" s="31" t="inlineStr">
        <is>
          <t>تنفيذ UAT كاملًا</t>
        </is>
      </c>
      <c r="G119" s="31" t="inlineStr">
        <is>
          <t>تعبئة نتائج ورقة UAT (نجح/فشل) وفتح bugs للفاشل.</t>
        </is>
      </c>
      <c r="H119" s="31" t="inlineStr">
        <is>
          <t>هذا الملف</t>
        </is>
      </c>
      <c r="I119" s="31" t="inlineStr">
        <is>
          <t>—</t>
        </is>
      </c>
      <c r="J119" s="31" t="inlineStr">
        <is>
          <t>QA-01</t>
        </is>
      </c>
      <c r="K119" s="31" t="inlineStr">
        <is>
          <t>P0</t>
        </is>
      </c>
      <c r="L119" s="31" t="inlineStr">
        <is>
          <t>L</t>
        </is>
      </c>
      <c r="M119" s="30" t="inlineStr">
        <is>
          <t>لم يبدأ</t>
        </is>
      </c>
      <c r="N119" s="30" t="n"/>
      <c r="O119" s="30" t="n"/>
      <c r="P119" s="43">
        <f>IFERROR(INDEX(WorkPackages!$H$5:$H$40,MATCH(B119,WorkPackages!$A$5:$A$40,0)),"")</f>
        <v/>
      </c>
      <c r="Q119" s="42" t="n"/>
      <c r="R119" s="42" t="n"/>
      <c r="S119" s="30" t="inlineStr">
        <is>
          <t>لا</t>
        </is>
      </c>
      <c r="T119" s="30" t="n"/>
      <c r="U119" s="31" t="inlineStr">
        <is>
          <t>لا</t>
        </is>
      </c>
      <c r="V119" s="31" t="inlineStr">
        <is>
          <t>Wave 2 (بعد Wave 1)</t>
        </is>
      </c>
      <c r="W119" s="31" t="n"/>
      <c r="X119" s="43">
        <f>IF(W119="","—",IFERROR(IF(INDEX(BackendChecklist!$H$5:$H$30,MATCH(W119,BackendChecklist!$A$5:$A$30,0))="نعم","جاهز للبدء",IF(V119="الآن (بنمط seam)","يبدأ بنمط seam — الربط ينتظر","ينتظر الباك اند")),"؟"))</f>
        <v/>
      </c>
    </row>
    <row r="120" ht="42" customHeight="1" s="26">
      <c r="A120" s="41" t="inlineStr">
        <is>
          <t>QA-04</t>
        </is>
      </c>
      <c r="B120" s="31" t="inlineStr">
        <is>
          <t>WP-QA</t>
        </is>
      </c>
      <c r="C120" s="43">
        <f>IFERROR(INDEX(WorkPackages!$C$5:$C$40,MATCH(B120,WorkPackages!$A$5:$A$40,0)),"")</f>
        <v/>
      </c>
      <c r="D120" s="31" t="inlineStr">
        <is>
          <t>عام</t>
        </is>
      </c>
      <c r="E120" s="31" t="inlineStr">
        <is>
          <t>UX</t>
        </is>
      </c>
      <c r="F120" s="31" t="inlineStr">
        <is>
          <t>فحص RTL/موبايل/Dark</t>
        </is>
      </c>
      <c r="G120" s="31" t="inlineStr">
        <is>
          <t>كل الصفحات الجديدة عربي/إنجليزي، شاشة 360px، الوضع الداكن.</t>
        </is>
      </c>
      <c r="H120" s="31" t="inlineStr">
        <is>
          <t>—</t>
        </is>
      </c>
      <c r="I120" s="31" t="inlineStr">
        <is>
          <t>—</t>
        </is>
      </c>
      <c r="J120" s="31" t="inlineStr">
        <is>
          <t>QA-01</t>
        </is>
      </c>
      <c r="K120" s="31" t="inlineStr">
        <is>
          <t>P1</t>
        </is>
      </c>
      <c r="L120" s="31" t="inlineStr">
        <is>
          <t>M</t>
        </is>
      </c>
      <c r="M120" s="30" t="inlineStr">
        <is>
          <t>لم يبدأ</t>
        </is>
      </c>
      <c r="N120" s="30" t="n"/>
      <c r="O120" s="30" t="n"/>
      <c r="P120" s="43">
        <f>IFERROR(INDEX(WorkPackages!$H$5:$H$40,MATCH(B120,WorkPackages!$A$5:$A$40,0)),"")</f>
        <v/>
      </c>
      <c r="Q120" s="42" t="n"/>
      <c r="R120" s="42" t="n"/>
      <c r="S120" s="30" t="inlineStr">
        <is>
          <t>لا</t>
        </is>
      </c>
      <c r="T120" s="30" t="n"/>
      <c r="U120" s="31" t="inlineStr">
        <is>
          <t>لا</t>
        </is>
      </c>
      <c r="V120" s="31" t="inlineStr">
        <is>
          <t>Wave 2 (بعد Wave 1)</t>
        </is>
      </c>
      <c r="W120" s="31" t="n"/>
      <c r="X120" s="43">
        <f>IF(W120="","—",IFERROR(IF(INDEX(BackendChecklist!$H$5:$H$30,MATCH(W120,BackendChecklist!$A$5:$A$30,0))="نعم","جاهز للبدء",IF(V120="الآن (بنمط seam)","يبدأ بنمط seam — الربط ينتظر","ينتظر الباك اند")),"؟"))</f>
        <v/>
      </c>
    </row>
    <row r="121" ht="42" customHeight="1" s="26">
      <c r="A121" s="41" t="inlineStr">
        <is>
          <t>QA-05</t>
        </is>
      </c>
      <c r="B121" s="31" t="inlineStr">
        <is>
          <t>WP-QA</t>
        </is>
      </c>
      <c r="C121" s="43">
        <f>IFERROR(INDEX(WorkPackages!$C$5:$C$40,MATCH(B121,WorkPackages!$A$5:$A$40,0)),"")</f>
        <v/>
      </c>
      <c r="D121" s="31" t="inlineStr">
        <is>
          <t>عام</t>
        </is>
      </c>
      <c r="E121" s="31" t="inlineStr">
        <is>
          <t>UX</t>
        </is>
      </c>
      <c r="F121" s="31" t="inlineStr">
        <is>
          <t>فحص الوصولية الأساسي</t>
        </is>
      </c>
      <c r="G121" s="31" t="inlineStr">
        <is>
          <t>labels، تركيز لوحة المفاتيح بالنوافذ، aria لحالات الخطأ.</t>
        </is>
      </c>
      <c r="H121" s="31" t="inlineStr">
        <is>
          <t>—</t>
        </is>
      </c>
      <c r="I121" s="31" t="inlineStr">
        <is>
          <t>—</t>
        </is>
      </c>
      <c r="J121" s="31" t="inlineStr">
        <is>
          <t>QA-01</t>
        </is>
      </c>
      <c r="K121" s="31" t="inlineStr">
        <is>
          <t>P2</t>
        </is>
      </c>
      <c r="L121" s="31" t="inlineStr">
        <is>
          <t>M</t>
        </is>
      </c>
      <c r="M121" s="30" t="inlineStr">
        <is>
          <t>لم يبدأ</t>
        </is>
      </c>
      <c r="N121" s="30" t="n"/>
      <c r="O121" s="30" t="n"/>
      <c r="P121" s="43">
        <f>IFERROR(INDEX(WorkPackages!$H$5:$H$40,MATCH(B121,WorkPackages!$A$5:$A$40,0)),"")</f>
        <v/>
      </c>
      <c r="Q121" s="42" t="n"/>
      <c r="R121" s="42" t="n"/>
      <c r="S121" s="30" t="inlineStr">
        <is>
          <t>لا</t>
        </is>
      </c>
      <c r="T121" s="30" t="n"/>
      <c r="U121" s="31" t="inlineStr">
        <is>
          <t>لا</t>
        </is>
      </c>
      <c r="V121" s="31" t="inlineStr">
        <is>
          <t>Wave 2 (بعد Wave 1)</t>
        </is>
      </c>
      <c r="W121" s="31" t="n"/>
      <c r="X121" s="43">
        <f>IF(W121="","—",IFERROR(IF(INDEX(BackendChecklist!$H$5:$H$30,MATCH(W121,BackendChecklist!$A$5:$A$30,0))="نعم","جاهز للبدء",IF(V121="الآن (بنمط seam)","يبدأ بنمط seam — الربط ينتظر","ينتظر الباك اند")),"؟"))</f>
        <v/>
      </c>
    </row>
    <row r="122" ht="42" customHeight="1" s="26">
      <c r="A122" s="41" t="inlineStr">
        <is>
          <t>QA-06</t>
        </is>
      </c>
      <c r="B122" s="31" t="inlineStr">
        <is>
          <t>WP-QA</t>
        </is>
      </c>
      <c r="C122" s="43">
        <f>IFERROR(INDEX(WorkPackages!$C$5:$C$40,MATCH(B122,WorkPackages!$A$5:$A$40,0)),"")</f>
        <v/>
      </c>
      <c r="D122" s="31" t="inlineStr">
        <is>
          <t>عام</t>
        </is>
      </c>
      <c r="E122" s="31" t="inlineStr">
        <is>
          <t>Docs</t>
        </is>
      </c>
      <c r="F122" s="31" t="inlineStr">
        <is>
          <t>تحديث README/CHANGELOG/ATLAS</t>
        </is>
      </c>
      <c r="G122" s="31" t="inlineStr">
        <is>
          <t>كما تُلزم CLAUDE.md: تحديث الخريطة بنفس PR + جدول حالة الصفحات.</t>
        </is>
      </c>
      <c r="H122" s="31" t="inlineStr">
        <is>
          <t>README.md, CHANGELOG.md, PROJECT-ATLAS.md</t>
        </is>
      </c>
      <c r="I122" s="31" t="inlineStr">
        <is>
          <t>—</t>
        </is>
      </c>
      <c r="J122" s="31" t="inlineStr">
        <is>
          <t>QA-01</t>
        </is>
      </c>
      <c r="K122" s="31" t="inlineStr">
        <is>
          <t>P1</t>
        </is>
      </c>
      <c r="L122" s="31" t="inlineStr">
        <is>
          <t>S</t>
        </is>
      </c>
      <c r="M122" s="30" t="inlineStr">
        <is>
          <t>لم يبدأ</t>
        </is>
      </c>
      <c r="N122" s="30" t="n"/>
      <c r="O122" s="30" t="n"/>
      <c r="P122" s="43">
        <f>IFERROR(INDEX(WorkPackages!$H$5:$H$40,MATCH(B122,WorkPackages!$A$5:$A$40,0)),"")</f>
        <v/>
      </c>
      <c r="Q122" s="42" t="n"/>
      <c r="R122" s="42" t="n"/>
      <c r="S122" s="30" t="inlineStr">
        <is>
          <t>لا</t>
        </is>
      </c>
      <c r="T122" s="30" t="n"/>
      <c r="U122" s="31" t="inlineStr">
        <is>
          <t>لا</t>
        </is>
      </c>
      <c r="V122" s="31" t="inlineStr">
        <is>
          <t>Wave 2 (بعد Wave 1)</t>
        </is>
      </c>
      <c r="W122" s="31" t="n"/>
      <c r="X122" s="43">
        <f>IF(W122="","—",IFERROR(IF(INDEX(BackendChecklist!$H$5:$H$30,MATCH(W122,BackendChecklist!$A$5:$A$30,0))="نعم","جاهز للبدء",IF(V122="الآن (بنمط seam)","يبدأ بنمط seam — الربط ينتظر","ينتظر الباك اند")),"؟"))</f>
        <v/>
      </c>
    </row>
    <row r="123" ht="42" customHeight="1" s="26">
      <c r="A123" s="41" t="inlineStr">
        <is>
          <t>QA-07</t>
        </is>
      </c>
      <c r="B123" s="31" t="inlineStr">
        <is>
          <t>WP-QA</t>
        </is>
      </c>
      <c r="C123" s="43">
        <f>IFERROR(INDEX(WorkPackages!$C$5:$C$40,MATCH(B123,WorkPackages!$A$5:$A$40,0)),"")</f>
        <v/>
      </c>
      <c r="D123" s="31" t="inlineStr">
        <is>
          <t>عام</t>
        </is>
      </c>
      <c r="E123" s="31" t="inlineStr">
        <is>
          <t>Docs</t>
        </is>
      </c>
      <c r="F123" s="31" t="inlineStr">
        <is>
          <t>إعادة تدقيق الجاهزية</t>
        </is>
      </c>
      <c r="G123" s="31" t="inlineStr">
        <is>
          <t>حساب النسبة الجديدة من FR_Matrix وإصدار تقرير مقارنة مع 36.7%.</t>
        </is>
      </c>
      <c r="H123" s="31" t="inlineStr">
        <is>
          <t>هذا الملف</t>
        </is>
      </c>
      <c r="I123" s="31" t="inlineStr">
        <is>
          <t>—</t>
        </is>
      </c>
      <c r="J123" s="31" t="inlineStr">
        <is>
          <t>QA-03</t>
        </is>
      </c>
      <c r="K123" s="31" t="inlineStr">
        <is>
          <t>P1</t>
        </is>
      </c>
      <c r="L123" s="31" t="inlineStr">
        <is>
          <t>S</t>
        </is>
      </c>
      <c r="M123" s="30" t="inlineStr">
        <is>
          <t>لم يبدأ</t>
        </is>
      </c>
      <c r="N123" s="30" t="n"/>
      <c r="O123" s="30" t="n"/>
      <c r="P123" s="43">
        <f>IFERROR(INDEX(WorkPackages!$H$5:$H$40,MATCH(B123,WorkPackages!$A$5:$A$40,0)),"")</f>
        <v/>
      </c>
      <c r="Q123" s="42" t="n"/>
      <c r="R123" s="42" t="n"/>
      <c r="S123" s="30" t="inlineStr">
        <is>
          <t>لا</t>
        </is>
      </c>
      <c r="T123" s="30" t="n"/>
      <c r="U123" s="31" t="inlineStr">
        <is>
          <t>لا</t>
        </is>
      </c>
      <c r="V123" s="31" t="inlineStr">
        <is>
          <t>Wave 2 (بعد Wave 1)</t>
        </is>
      </c>
      <c r="W123" s="31" t="n"/>
      <c r="X123" s="43">
        <f>IF(W123="","—",IFERROR(IF(INDEX(BackendChecklist!$H$5:$H$30,MATCH(W123,BackendChecklist!$A$5:$A$30,0))="نعم","جاهز للبدء",IF(V123="الآن (بنمط seam)","يبدأ بنمط seam — الربط ينتظر","ينتظر الباك اند")),"؟"))</f>
        <v/>
      </c>
    </row>
    <row r="124" ht="42" customHeight="1" s="26">
      <c r="A124" s="41" t="inlineStr">
        <is>
          <t>QA-08</t>
        </is>
      </c>
      <c r="B124" s="31" t="inlineStr">
        <is>
          <t>WP-QA</t>
        </is>
      </c>
      <c r="C124" s="43">
        <f>IFERROR(INDEX(WorkPackages!$C$5:$C$40,MATCH(B124,WorkPackages!$A$5:$A$40,0)),"")</f>
        <v/>
      </c>
      <c r="D124" s="31" t="inlineStr">
        <is>
          <t>عام</t>
        </is>
      </c>
      <c r="E124" s="31" t="inlineStr">
        <is>
          <t>Cleanup</t>
        </is>
      </c>
      <c r="F124" s="31" t="inlineStr">
        <is>
          <t>تنظيف النصوص القديمة وبقايا الـ stubs</t>
        </is>
      </c>
      <c r="G124" s="31" t="inlineStr">
        <is>
          <t>البحث عن: «قيد البناء»، «P0-1»، «P1-1»، «غير مفعّل بعد بالباك اند» وإزالة ما لم يعد صحيحًا.</t>
        </is>
      </c>
      <c r="H124" s="31" t="inlineStr">
        <is>
          <t>—</t>
        </is>
      </c>
      <c r="I124" s="31" t="inlineStr">
        <is>
          <t>—</t>
        </is>
      </c>
      <c r="J124" s="31" t="inlineStr">
        <is>
          <t>QA-01</t>
        </is>
      </c>
      <c r="K124" s="31" t="inlineStr">
        <is>
          <t>P1</t>
        </is>
      </c>
      <c r="L124" s="31" t="inlineStr">
        <is>
          <t>S</t>
        </is>
      </c>
      <c r="M124" s="30" t="inlineStr">
        <is>
          <t>لم يبدأ</t>
        </is>
      </c>
      <c r="N124" s="30" t="n"/>
      <c r="O124" s="30" t="n"/>
      <c r="P124" s="43">
        <f>IFERROR(INDEX(WorkPackages!$H$5:$H$40,MATCH(B124,WorkPackages!$A$5:$A$40,0)),"")</f>
        <v/>
      </c>
      <c r="Q124" s="42" t="n"/>
      <c r="R124" s="42" t="n"/>
      <c r="S124" s="30" t="inlineStr">
        <is>
          <t>لا</t>
        </is>
      </c>
      <c r="T124" s="30" t="n"/>
      <c r="U124" s="31" t="inlineStr">
        <is>
          <t>لا</t>
        </is>
      </c>
      <c r="V124" s="31" t="inlineStr">
        <is>
          <t>Wave 2 (بعد Wave 1)</t>
        </is>
      </c>
      <c r="W124" s="31" t="n"/>
      <c r="X124" s="43">
        <f>IF(W124="","—",IFERROR(IF(INDEX(BackendChecklist!$H$5:$H$30,MATCH(W124,BackendChecklist!$A$5:$A$30,0))="نعم","جاهز للبدء",IF(V124="الآن (بنمط seam)","يبدأ بنمط seam — الربط ينتظر","ينتظر الباك اند")),"؟"))</f>
        <v/>
      </c>
    </row>
    <row r="125" ht="42" customHeight="1" s="26">
      <c r="A125" s="41" t="inlineStr">
        <is>
          <t>QA-09</t>
        </is>
      </c>
      <c r="B125" s="31" t="inlineStr">
        <is>
          <t>WP-QA</t>
        </is>
      </c>
      <c r="C125" s="43">
        <f>IFERROR(INDEX(WorkPackages!$C$5:$C$40,MATCH(B125,WorkPackages!$A$5:$A$40,0)),"")</f>
        <v/>
      </c>
      <c r="D125" s="31" t="inlineStr">
        <is>
          <t>عام</t>
        </is>
      </c>
      <c r="E125" s="31" t="inlineStr">
        <is>
          <t>Security</t>
        </is>
      </c>
      <c r="F125" s="31" t="inlineStr">
        <is>
          <t>مراجعة أمنية للواجهات الجديدة</t>
        </is>
      </c>
      <c r="G125" s="31" t="inlineStr">
        <is>
          <t>روابط الاجتماع http/https فقط، لا dangerouslySetInnerHTML، لا تسريب بيانات طلاب خارج الحقول المسموحة، الاعتماد على الباك اند كحد أمان.</t>
        </is>
      </c>
      <c r="H125" s="31" t="inlineStr">
        <is>
          <t>—</t>
        </is>
      </c>
      <c r="I125" s="31" t="inlineStr">
        <is>
          <t>—</t>
        </is>
      </c>
      <c r="J125" s="31" t="inlineStr">
        <is>
          <t>QA-01</t>
        </is>
      </c>
      <c r="K125" s="31" t="inlineStr">
        <is>
          <t>P0</t>
        </is>
      </c>
      <c r="L125" s="31" t="inlineStr">
        <is>
          <t>M</t>
        </is>
      </c>
      <c r="M125" s="30" t="inlineStr">
        <is>
          <t>لم يبدأ</t>
        </is>
      </c>
      <c r="N125" s="30" t="n"/>
      <c r="O125" s="30" t="n"/>
      <c r="P125" s="43">
        <f>IFERROR(INDEX(WorkPackages!$H$5:$H$40,MATCH(B125,WorkPackages!$A$5:$A$40,0)),"")</f>
        <v/>
      </c>
      <c r="Q125" s="42" t="n"/>
      <c r="R125" s="42" t="n"/>
      <c r="S125" s="30" t="inlineStr">
        <is>
          <t>لا</t>
        </is>
      </c>
      <c r="T125" s="30" t="n"/>
      <c r="U125" s="31" t="inlineStr">
        <is>
          <t>لا</t>
        </is>
      </c>
      <c r="V125" s="31" t="inlineStr">
        <is>
          <t>Wave 2 (بعد Wave 1)</t>
        </is>
      </c>
      <c r="W125" s="31" t="n"/>
      <c r="X125" s="43">
        <f>IF(W125="","—",IFERROR(IF(INDEX(BackendChecklist!$H$5:$H$30,MATCH(W125,BackendChecklist!$A$5:$A$30,0))="نعم","جاهز للبدء",IF(V125="الآن (بنمط seam)","يبدأ بنمط seam — الربط ينتظر","ينتظر الباك اند")),"؟"))</f>
        <v/>
      </c>
    </row>
    <row r="126" ht="42" customHeight="1" s="26">
      <c r="A126" s="41" t="inlineStr">
        <is>
          <t>00-21</t>
        </is>
      </c>
      <c r="B126" s="31" t="inlineStr">
        <is>
          <t>WP-00</t>
        </is>
      </c>
      <c r="C126" s="43">
        <f>IFERROR(INDEX(WorkPackages!$C$5:$C$40,MATCH(B126,WorkPackages!$A$5:$A$40,0)),"")</f>
        <v/>
      </c>
      <c r="D126" s="31" t="inlineStr">
        <is>
          <t>عام</t>
        </is>
      </c>
      <c r="E126" s="31" t="inlineStr">
        <is>
          <t>API</t>
        </is>
      </c>
      <c r="F126" s="31" t="inlineStr">
        <is>
          <t>ملف pending-json.ts (النوع المؤقت)</t>
        </is>
      </c>
      <c r="G126" s="31" t="inlineStr">
        <is>
          <t>export type PendingResponse = { id?: number } &amp; Record&lt;string, unknown&gt; — تُستخدم لكل رد غير موثّق بالـSwagger. كل استخدام يحمل تعليق // PENDING-JSON (WP-J). ممنوع تخمين حقول.</t>
        </is>
      </c>
      <c r="H126" s="31" t="inlineStr">
        <is>
          <t>integrations/backend/pending-json.ts</t>
        </is>
      </c>
      <c r="I126" s="31" t="inlineStr">
        <is>
          <t>—</t>
        </is>
      </c>
      <c r="J126" s="31" t="inlineStr">
        <is>
          <t>—</t>
        </is>
      </c>
      <c r="K126" s="31" t="inlineStr">
        <is>
          <t>P0</t>
        </is>
      </c>
      <c r="L126" s="31" t="inlineStr">
        <is>
          <t>S</t>
        </is>
      </c>
      <c r="M126" s="30" t="inlineStr">
        <is>
          <t>قيد المراجعة</t>
        </is>
      </c>
      <c r="N126" s="30" t="inlineStr">
        <is>
          <t>Claude</t>
        </is>
      </c>
      <c r="O126" s="30" t="inlineStr">
        <is>
          <t>W0</t>
        </is>
      </c>
      <c r="P126" s="43">
        <f>IFERROR(INDEX(WorkPackages!$H$5:$H$40,MATCH(B126,WorkPackages!$A$5:$A$40,0)),"")</f>
        <v/>
      </c>
      <c r="Q126" s="42" t="n"/>
      <c r="R126" s="42" t="n"/>
      <c r="S126" s="30" t="inlineStr">
        <is>
          <t>لا</t>
        </is>
      </c>
      <c r="T126" s="30" t="inlineStr">
        <is>
          <t>سُلِّم في wp-00-files.zip؛ بانتظار 00-17 (routeTree + validate محليًا)</t>
        </is>
      </c>
      <c r="U126" s="31" t="inlineStr">
        <is>
          <t>لا</t>
        </is>
      </c>
      <c r="V126" s="31" t="inlineStr">
        <is>
          <t>WP-00 (سُلِّم — بانتظار validate)</t>
        </is>
      </c>
      <c r="W126" s="31" t="n"/>
      <c r="X126" s="43">
        <f>IF(W126="","—",IFERROR(IF(INDEX(BackendChecklist!$H$5:$H$30,MATCH(W126,BackendChecklist!$A$5:$A$30,0))="نعم","جاهز للبدء",IF(V126="الآن (بنمط seam)","يبدأ بنمط seam — الربط ينتظر","ينتظر الباك اند")),"؟"))</f>
        <v/>
      </c>
    </row>
    <row r="127" ht="42" customHeight="1" s="26">
      <c r="A127" s="41" t="inlineStr">
        <is>
          <t>J-01</t>
        </is>
      </c>
      <c r="B127" s="31" t="inlineStr">
        <is>
          <t>WP-J</t>
        </is>
      </c>
      <c r="C127" s="43">
        <f>IFERROR(INDEX(WorkPackages!$C$5:$C$40,MATCH(B127,WorkPackages!$A$5:$A$40,0)),"")</f>
        <v/>
      </c>
      <c r="D127" s="31" t="inlineStr">
        <is>
          <t>عام</t>
        </is>
      </c>
      <c r="E127" s="31" t="inlineStr">
        <is>
          <t>Data</t>
        </is>
      </c>
      <c r="F127" s="31" t="inlineStr">
        <is>
          <t>استلام عينات JSON (Booking: MyBookings, TeacherBookings, TeacherRescheduleRequests)</t>
        </is>
      </c>
      <c r="G127" s="31" t="inlineStr">
        <is>
          <t>المستخدم يلصق ردود Try it out → يُعرَّف BookingRow/TeacherBookingRow/TeacherRescheduleRequestRow بدل PendingResponse.</t>
        </is>
      </c>
      <c r="H127" s="31" t="inlineStr">
        <is>
          <t>integrations/backend/bookings.ts</t>
        </is>
      </c>
      <c r="I127" s="31" t="inlineStr">
        <is>
          <t>Booking/MyBookings, TeacherBookings, TeacherRescheduleRequests</t>
        </is>
      </c>
      <c r="J127" s="31" t="inlineStr">
        <is>
          <t>عينات المستخدم</t>
        </is>
      </c>
      <c r="K127" s="31" t="inlineStr">
        <is>
          <t>P0</t>
        </is>
      </c>
      <c r="L127" s="31" t="inlineStr">
        <is>
          <t>S</t>
        </is>
      </c>
      <c r="M127" s="30" t="inlineStr">
        <is>
          <t>لم يبدأ</t>
        </is>
      </c>
      <c r="N127" s="30" t="inlineStr">
        <is>
          <t>Claude</t>
        </is>
      </c>
      <c r="O127" s="30" t="inlineStr">
        <is>
          <t>WJ</t>
        </is>
      </c>
      <c r="P127" s="43">
        <f>IFERROR(INDEX(WorkPackages!$H$5:$H$40,MATCH(B127,WorkPackages!$A$5:$A$40,0)),"")</f>
        <v/>
      </c>
      <c r="Q127" s="42" t="n"/>
      <c r="R127" s="42" t="n"/>
      <c r="S127" s="30" t="inlineStr">
        <is>
          <t>لا</t>
        </is>
      </c>
      <c r="T127" s="30" t="n"/>
      <c r="U127" s="31" t="inlineStr">
        <is>
          <t>نعم</t>
        </is>
      </c>
      <c r="V127" s="31" t="inlineStr">
        <is>
          <t>عند وصول عينات JSON</t>
        </is>
      </c>
      <c r="W127" s="31" t="n"/>
      <c r="X127" s="43">
        <f>IF(W127="","—",IFERROR(IF(INDEX(BackendChecklist!$H$5:$H$30,MATCH(W127,BackendChecklist!$A$5:$A$30,0))="نعم","جاهز للبدء",IF(V127="الآن (بنمط seam)","يبدأ بنمط seam — الربط ينتظر","ينتظر الباك اند")),"؟"))</f>
        <v/>
      </c>
    </row>
    <row r="128" ht="42" customHeight="1" s="26">
      <c r="A128" s="41" t="inlineStr">
        <is>
          <t>J-02</t>
        </is>
      </c>
      <c r="B128" s="31" t="inlineStr">
        <is>
          <t>WP-J</t>
        </is>
      </c>
      <c r="C128" s="43">
        <f>IFERROR(INDEX(WorkPackages!$C$5:$C$40,MATCH(B128,WorkPackages!$A$5:$A$40,0)),"")</f>
        <v/>
      </c>
      <c r="D128" s="31" t="inlineStr">
        <is>
          <t>عام</t>
        </is>
      </c>
      <c r="E128" s="31" t="inlineStr">
        <is>
          <t>Data</t>
        </is>
      </c>
      <c r="F128" s="31" t="inlineStr">
        <is>
          <t>أنواع حجز الطالب (GetBooking, BookingPayment, MyRescheduleRequests)</t>
        </is>
      </c>
      <c r="G128" s="31" t="inlineStr">
        <is>
          <t>تعريف StudentBookingDetail/StudentBookingPayment/StudentRescheduleRequest + حسم Q-10 (isRated) وأسماء حالات إعادة الجدولة.</t>
        </is>
      </c>
      <c r="H128" s="31" t="inlineStr">
        <is>
          <t>integrations/backend/student.ts, lib/enums.ts</t>
        </is>
      </c>
      <c r="I128" s="31" t="inlineStr">
        <is>
          <t>Student/GetBooking, BookingPayment, MyRescheduleRequests</t>
        </is>
      </c>
      <c r="J128" s="31" t="inlineStr">
        <is>
          <t>عينات المستخدم</t>
        </is>
      </c>
      <c r="K128" s="31" t="inlineStr">
        <is>
          <t>P0</t>
        </is>
      </c>
      <c r="L128" s="31" t="inlineStr">
        <is>
          <t>S</t>
        </is>
      </c>
      <c r="M128" s="30" t="inlineStr">
        <is>
          <t>لم يبدأ</t>
        </is>
      </c>
      <c r="N128" s="30" t="inlineStr">
        <is>
          <t>Claude</t>
        </is>
      </c>
      <c r="O128" s="30" t="inlineStr">
        <is>
          <t>WJ</t>
        </is>
      </c>
      <c r="P128" s="43">
        <f>IFERROR(INDEX(WorkPackages!$H$5:$H$40,MATCH(B128,WorkPackages!$A$5:$A$40,0)),"")</f>
        <v/>
      </c>
      <c r="Q128" s="42" t="n"/>
      <c r="R128" s="42" t="n"/>
      <c r="S128" s="30" t="inlineStr">
        <is>
          <t>لا</t>
        </is>
      </c>
      <c r="T128" s="30" t="n"/>
      <c r="U128" s="31" t="inlineStr">
        <is>
          <t>نعم</t>
        </is>
      </c>
      <c r="V128" s="31" t="inlineStr">
        <is>
          <t>عند وصول عينات JSON</t>
        </is>
      </c>
      <c r="W128" s="31" t="n"/>
      <c r="X128" s="43">
        <f>IF(W128="","—",IFERROR(IF(INDEX(BackendChecklist!$H$5:$H$30,MATCH(W128,BackendChecklist!$A$5:$A$30,0))="نعم","جاهز للبدء",IF(V128="الآن (بنمط seam)","يبدأ بنمط seam — الربط ينتظر","ينتظر الباك اند")),"؟"))</f>
        <v/>
      </c>
    </row>
    <row r="129" ht="42" customHeight="1" s="26">
      <c r="A129" s="41" t="inlineStr">
        <is>
          <t>J-03</t>
        </is>
      </c>
      <c r="B129" s="31" t="inlineStr">
        <is>
          <t>WP-J</t>
        </is>
      </c>
      <c r="C129" s="43">
        <f>IFERROR(INDEX(WorkPackages!$C$5:$C$40,MATCH(B129,WorkPackages!$A$5:$A$40,0)),"")</f>
        <v/>
      </c>
      <c r="D129" s="31" t="inlineStr">
        <is>
          <t>عام</t>
        </is>
      </c>
      <c r="E129" s="31" t="inlineStr">
        <is>
          <t>Data</t>
        </is>
      </c>
      <c r="F129" s="31" t="inlineStr">
        <is>
          <t>أنواع التعلّم (GetLesson, GetCourse)</t>
        </is>
      </c>
      <c r="G129" s="31" t="inlineStr">
        <is>
          <t>StudentLessonDetail/StudentCourseDetail.</t>
        </is>
      </c>
      <c r="H129" s="31" t="inlineStr">
        <is>
          <t>integrations/backend/student.ts</t>
        </is>
      </c>
      <c r="I129" s="31" t="inlineStr">
        <is>
          <t>Student/GetLesson, GetCourse</t>
        </is>
      </c>
      <c r="J129" s="31" t="inlineStr">
        <is>
          <t>عينات المستخدم</t>
        </is>
      </c>
      <c r="K129" s="31" t="inlineStr">
        <is>
          <t>P0</t>
        </is>
      </c>
      <c r="L129" s="31" t="inlineStr">
        <is>
          <t>S</t>
        </is>
      </c>
      <c r="M129" s="30" t="inlineStr">
        <is>
          <t>لم يبدأ</t>
        </is>
      </c>
      <c r="N129" s="30" t="inlineStr">
        <is>
          <t>Claude</t>
        </is>
      </c>
      <c r="O129" s="30" t="inlineStr">
        <is>
          <t>WJ</t>
        </is>
      </c>
      <c r="P129" s="43">
        <f>IFERROR(INDEX(WorkPackages!$H$5:$H$40,MATCH(B129,WorkPackages!$A$5:$A$40,0)),"")</f>
        <v/>
      </c>
      <c r="Q129" s="42" t="n"/>
      <c r="R129" s="42" t="n"/>
      <c r="S129" s="30" t="inlineStr">
        <is>
          <t>لا</t>
        </is>
      </c>
      <c r="T129" s="30" t="n"/>
      <c r="U129" s="31" t="inlineStr">
        <is>
          <t>نعم</t>
        </is>
      </c>
      <c r="V129" s="31" t="inlineStr">
        <is>
          <t>عند وصول عينات JSON</t>
        </is>
      </c>
      <c r="W129" s="31" t="n"/>
      <c r="X129" s="43">
        <f>IF(W129="","—",IFERROR(IF(INDEX(BackendChecklist!$H$5:$H$30,MATCH(W129,BackendChecklist!$A$5:$A$30,0))="نعم","جاهز للبدء",IF(V129="الآن (بنمط seam)","يبدأ بنمط seam — الربط ينتظر","ينتظر الباك اند")),"؟"))</f>
        <v/>
      </c>
    </row>
    <row r="130" ht="42" customHeight="1" s="26">
      <c r="A130" s="41" t="inlineStr">
        <is>
          <t>J-04</t>
        </is>
      </c>
      <c r="B130" s="31" t="inlineStr">
        <is>
          <t>WP-J</t>
        </is>
      </c>
      <c r="C130" s="43">
        <f>IFERROR(INDEX(WorkPackages!$C$5:$C$40,MATCH(B130,WorkPackages!$A$5:$A$40,0)),"")</f>
        <v/>
      </c>
      <c r="D130" s="31" t="inlineStr">
        <is>
          <t>عام</t>
        </is>
      </c>
      <c r="E130" s="31" t="inlineStr">
        <is>
          <t>Data</t>
        </is>
      </c>
      <c r="F130" s="31" t="inlineStr">
        <is>
          <t>أنواع الأكاديمي (Attendance, ExamResults) + التحقق من Progress</t>
        </is>
      </c>
      <c r="G130" s="31" t="inlineStr">
        <is>
          <t>StudentAttendanceRow/StudentExamResultRow، ومطابقة StudentProgressDto مع الرد الحي.</t>
        </is>
      </c>
      <c r="H130" s="31" t="inlineStr">
        <is>
          <t>integrations/backend/student.ts</t>
        </is>
      </c>
      <c r="I130" s="31" t="inlineStr">
        <is>
          <t>Student/Attendance, ExamResults, Progress</t>
        </is>
      </c>
      <c r="J130" s="31" t="inlineStr">
        <is>
          <t>عينات المستخدم</t>
        </is>
      </c>
      <c r="K130" s="31" t="inlineStr">
        <is>
          <t>P0</t>
        </is>
      </c>
      <c r="L130" s="31" t="inlineStr">
        <is>
          <t>S</t>
        </is>
      </c>
      <c r="M130" s="30" t="inlineStr">
        <is>
          <t>لم يبدأ</t>
        </is>
      </c>
      <c r="N130" s="30" t="inlineStr">
        <is>
          <t>Claude</t>
        </is>
      </c>
      <c r="O130" s="30" t="inlineStr">
        <is>
          <t>WJ</t>
        </is>
      </c>
      <c r="P130" s="43">
        <f>IFERROR(INDEX(WorkPackages!$H$5:$H$40,MATCH(B130,WorkPackages!$A$5:$A$40,0)),"")</f>
        <v/>
      </c>
      <c r="Q130" s="42" t="n"/>
      <c r="R130" s="42" t="n"/>
      <c r="S130" s="30" t="inlineStr">
        <is>
          <t>لا</t>
        </is>
      </c>
      <c r="T130" s="30" t="n"/>
      <c r="U130" s="31" t="inlineStr">
        <is>
          <t>نعم</t>
        </is>
      </c>
      <c r="V130" s="31" t="inlineStr">
        <is>
          <t>عند وصول عينات JSON</t>
        </is>
      </c>
      <c r="W130" s="31" t="n"/>
      <c r="X130" s="43">
        <f>IF(W130="","—",IFERROR(IF(INDEX(BackendChecklist!$H$5:$H$30,MATCH(W130,BackendChecklist!$A$5:$A$30,0))="نعم","جاهز للبدء",IF(V130="الآن (بنمط seam)","يبدأ بنمط seam — الربط ينتظر","ينتظر الباك اند")),"؟"))</f>
        <v/>
      </c>
    </row>
    <row r="131" ht="42" customHeight="1" s="26">
      <c r="A131" s="41" t="inlineStr">
        <is>
          <t>J-05</t>
        </is>
      </c>
      <c r="B131" s="31" t="inlineStr">
        <is>
          <t>WP-J</t>
        </is>
      </c>
      <c r="C131" s="43">
        <f>IFERROR(INDEX(WorkPackages!$C$5:$C$40,MATCH(B131,WorkPackages!$A$5:$A$40,0)),"")</f>
        <v/>
      </c>
      <c r="D131" s="31" t="inlineStr">
        <is>
          <t>عام</t>
        </is>
      </c>
      <c r="E131" s="31" t="inlineStr">
        <is>
          <t>Data</t>
        </is>
      </c>
      <c r="F131" s="31" t="inlineStr">
        <is>
          <t>أنواع الكورسات (GetMineById, GetAll للمعلم, GetGroupStudents) + Q-01/Q-02/Q-03</t>
        </is>
      </c>
      <c r="G131" s="31" t="inlineStr">
        <is>
          <t>TeacherCourseDetail (مع groupId)/GroupStudentRow؛ حسم: هل GetAll يفلتر حسب المعلم؟ من أين groupId؟ هل teacherId مطلوب؟</t>
        </is>
      </c>
      <c r="H131" s="31" t="inlineStr">
        <is>
          <t>integrations/backend/courses.ts</t>
        </is>
      </c>
      <c r="I131" s="31" t="inlineStr">
        <is>
          <t>Course/GetMineById, GetAll, GetGroupStudents</t>
        </is>
      </c>
      <c r="J131" s="31" t="inlineStr">
        <is>
          <t>عينات المستخدم + إجابات Q</t>
        </is>
      </c>
      <c r="K131" s="31" t="inlineStr">
        <is>
          <t>P0</t>
        </is>
      </c>
      <c r="L131" s="31" t="inlineStr">
        <is>
          <t>M</t>
        </is>
      </c>
      <c r="M131" s="30" t="inlineStr">
        <is>
          <t>لم يبدأ</t>
        </is>
      </c>
      <c r="N131" s="30" t="inlineStr">
        <is>
          <t>Claude</t>
        </is>
      </c>
      <c r="O131" s="30" t="inlineStr">
        <is>
          <t>WJ</t>
        </is>
      </c>
      <c r="P131" s="43">
        <f>IFERROR(INDEX(WorkPackages!$H$5:$H$40,MATCH(B131,WorkPackages!$A$5:$A$40,0)),"")</f>
        <v/>
      </c>
      <c r="Q131" s="42" t="n"/>
      <c r="R131" s="42" t="n"/>
      <c r="S131" s="30" t="inlineStr">
        <is>
          <t>لا</t>
        </is>
      </c>
      <c r="T131" s="30" t="n"/>
      <c r="U131" s="31" t="inlineStr">
        <is>
          <t>نعم</t>
        </is>
      </c>
      <c r="V131" s="31" t="inlineStr">
        <is>
          <t>عند وصول عينات JSON</t>
        </is>
      </c>
      <c r="W131" s="31" t="n"/>
      <c r="X131" s="43">
        <f>IF(W131="","—",IFERROR(IF(INDEX(BackendChecklist!$H$5:$H$30,MATCH(W131,BackendChecklist!$A$5:$A$30,0))="نعم","جاهز للبدء",IF(V131="الآن (بنمط seam)","يبدأ بنمط seam — الربط ينتظر","ينتظر الباك اند")),"؟"))</f>
        <v/>
      </c>
    </row>
    <row r="132" ht="42" customHeight="1" s="26">
      <c r="A132" s="41" t="inlineStr">
        <is>
          <t>J-06</t>
        </is>
      </c>
      <c r="B132" s="31" t="inlineStr">
        <is>
          <t>WP-J</t>
        </is>
      </c>
      <c r="C132" s="43">
        <f>IFERROR(INDEX(WorkPackages!$C$5:$C$40,MATCH(B132,WorkPackages!$A$5:$A$40,0)),"")</f>
        <v/>
      </c>
      <c r="D132" s="31" t="inlineStr">
        <is>
          <t>عام</t>
        </is>
      </c>
      <c r="E132" s="31" t="inlineStr">
        <is>
          <t>Data</t>
        </is>
      </c>
      <c r="F132" s="31" t="inlineStr">
        <is>
          <t>أنواع الدروس + مصادر المواد/الصفوف (Q-04)</t>
        </is>
      </c>
      <c r="G132" s="31" t="inlineStr">
        <is>
          <t>LessonRow من GetSchedule؛ وتحديد المصدر الفعلي لـsubjectId/gradeId/categoryId (Teacher/CreateEditModal أم Constant/GetAll) وتعريف LookupOption.</t>
        </is>
      </c>
      <c r="H132" s="31" t="inlineStr">
        <is>
          <t>integrations/backend/lessons.ts, integrations/backend/teachers.ts</t>
        </is>
      </c>
      <c r="I132" s="31" t="inlineStr">
        <is>
          <t>Lesson/GetSchedule, Teacher/CreateEditModal, Constant/GetAll</t>
        </is>
      </c>
      <c r="J132" s="31" t="inlineStr">
        <is>
          <t>عينات المستخدم + Q-04</t>
        </is>
      </c>
      <c r="K132" s="31" t="inlineStr">
        <is>
          <t>P0</t>
        </is>
      </c>
      <c r="L132" s="31" t="inlineStr">
        <is>
          <t>M</t>
        </is>
      </c>
      <c r="M132" s="30" t="inlineStr">
        <is>
          <t>لم يبدأ</t>
        </is>
      </c>
      <c r="N132" s="30" t="inlineStr">
        <is>
          <t>Claude</t>
        </is>
      </c>
      <c r="O132" s="30" t="inlineStr">
        <is>
          <t>WJ</t>
        </is>
      </c>
      <c r="P132" s="43">
        <f>IFERROR(INDEX(WorkPackages!$H$5:$H$40,MATCH(B132,WorkPackages!$A$5:$A$40,0)),"")</f>
        <v/>
      </c>
      <c r="Q132" s="42" t="n"/>
      <c r="R132" s="42" t="n"/>
      <c r="S132" s="30" t="inlineStr">
        <is>
          <t>لا</t>
        </is>
      </c>
      <c r="T132" s="30" t="n"/>
      <c r="U132" s="31" t="inlineStr">
        <is>
          <t>نعم</t>
        </is>
      </c>
      <c r="V132" s="31" t="inlineStr">
        <is>
          <t>عند وصول عينات JSON</t>
        </is>
      </c>
      <c r="W132" s="31" t="n"/>
      <c r="X132" s="43">
        <f>IF(W132="","—",IFERROR(IF(INDEX(BackendChecklist!$H$5:$H$30,MATCH(W132,BackendChecklist!$A$5:$A$30,0))="نعم","جاهز للبدء",IF(V132="الآن (بنمط seam)","يبدأ بنمط seam — الربط ينتظر","ينتظر الباك اند")),"؟"))</f>
        <v/>
      </c>
    </row>
    <row r="133" ht="42" customHeight="1" s="26">
      <c r="A133" s="41" t="inlineStr">
        <is>
          <t>J-07</t>
        </is>
      </c>
      <c r="B133" s="31" t="inlineStr">
        <is>
          <t>WP-J</t>
        </is>
      </c>
      <c r="C133" s="43">
        <f>IFERROR(INDEX(WorkPackages!$C$5:$C$40,MATCH(B133,WorkPackages!$A$5:$A$40,0)),"")</f>
        <v/>
      </c>
      <c r="D133" s="31" t="inlineStr">
        <is>
          <t>عام</t>
        </is>
      </c>
      <c r="E133" s="31" t="inlineStr">
        <is>
          <t>Tracker</t>
        </is>
      </c>
      <c r="F133" s="31" t="inlineStr">
        <is>
          <t>تحديث التتبع بعد J-01..J-06</t>
        </is>
      </c>
      <c r="G133" s="31" t="inlineStr">
        <is>
          <t>فتح JSON-dependent tasks (عمود «يعتمد على JSON؟») في Wave 1 وتحويل بوابتها إلى «جاهز».</t>
        </is>
      </c>
      <c r="H133" s="31" t="inlineStr">
        <is>
          <t>هذا الملف</t>
        </is>
      </c>
      <c r="I133" s="31" t="inlineStr">
        <is>
          <t>—</t>
        </is>
      </c>
      <c r="J133" s="31" t="inlineStr">
        <is>
          <t>J-01..J-06</t>
        </is>
      </c>
      <c r="K133" s="31" t="inlineStr">
        <is>
          <t>P0</t>
        </is>
      </c>
      <c r="L133" s="31" t="inlineStr">
        <is>
          <t>S</t>
        </is>
      </c>
      <c r="M133" s="30" t="inlineStr">
        <is>
          <t>لم يبدأ</t>
        </is>
      </c>
      <c r="N133" s="30" t="inlineStr">
        <is>
          <t>Claude</t>
        </is>
      </c>
      <c r="O133" s="30" t="inlineStr">
        <is>
          <t>WJ</t>
        </is>
      </c>
      <c r="P133" s="43">
        <f>IFERROR(INDEX(WorkPackages!$H$5:$H$40,MATCH(B133,WorkPackages!$A$5:$A$40,0)),"")</f>
        <v/>
      </c>
      <c r="Q133" s="42" t="n"/>
      <c r="R133" s="42" t="n"/>
      <c r="S133" s="30" t="inlineStr">
        <is>
          <t>لا</t>
        </is>
      </c>
      <c r="T133" s="30" t="n"/>
      <c r="U133" s="31" t="inlineStr">
        <is>
          <t>نعم</t>
        </is>
      </c>
      <c r="V133" s="31" t="inlineStr">
        <is>
          <t>عند وصول عينات JSON</t>
        </is>
      </c>
      <c r="W133" s="31" t="n"/>
      <c r="X133" s="43">
        <f>IF(W133="","—",IFERROR(IF(INDEX(BackendChecklist!$H$5:$H$30,MATCH(W133,BackendChecklist!$A$5:$A$30,0))="نعم","جاهز للبدء",IF(V133="الآن (بنمط seam)","يبدأ بنمط seam — الربط ينتظر","ينتظر الباك اند")),"؟"))</f>
        <v/>
      </c>
    </row>
  </sheetData>
  <autoFilter ref="A4:X133"/>
  <conditionalFormatting sqref="U5:U300">
    <cfRule type="cellIs" rank="0" priority="2" equalAverage="0" operator="equal" aboveAverage="0" dxfId="0" text="" percent="0" bottom="0">
      <formula>"نعم"</formula>
    </cfRule>
    <cfRule type="cellIs" rank="0" priority="3" equalAverage="0" operator="equal" aboveAverage="0" dxfId="2" text="" percent="0" bottom="0">
      <formula>"جزئي"</formula>
    </cfRule>
  </conditionalFormatting>
  <conditionalFormatting sqref="V5:V300">
    <cfRule type="cellIs" rank="0" priority="4" equalAverage="0" operator="equal" aboveAverage="0" dxfId="1" text="" percent="0" bottom="0">
      <formula>"الآن"</formula>
    </cfRule>
  </conditionalFormatting>
  <conditionalFormatting sqref="M5:M300">
    <cfRule type="cellIs" rank="0" priority="5" equalAverage="0" operator="equal" aboveAverage="0" dxfId="1" text="" percent="0" bottom="0">
      <formula>"مكتمل"</formula>
    </cfRule>
    <cfRule type="cellIs" rank="0" priority="6" equalAverage="0" operator="equal" aboveAverage="0" dxfId="2" text="" percent="0" bottom="0">
      <formula>"قيد التنفيذ"</formula>
    </cfRule>
    <cfRule type="cellIs" rank="0" priority="7" equalAverage="0" operator="equal" aboveAverage="0" dxfId="3" text="" percent="0" bottom="0">
      <formula>"قيد المراجعة"</formula>
    </cfRule>
    <cfRule type="cellIs" rank="0" priority="8" equalAverage="0" operator="equal" aboveAverage="0" dxfId="0" text="" percent="0" bottom="0">
      <formula>"متوقف"</formula>
    </cfRule>
    <cfRule type="cellIs" rank="0" priority="9" equalAverage="0" operator="equal" aboveAverage="0" dxfId="4" text="" percent="0" bottom="0">
      <formula>"مؤجل"</formula>
    </cfRule>
  </conditionalFormatting>
  <dataValidations count="5">
    <dataValidation sqref="M5:M300" showDropDown="0" showInputMessage="0" showErrorMessage="1" allowBlank="1" errorTitle="قيمة غير مسموحة" error="اختر من القائمة" type="list" errorStyle="stop" operator="between">
      <formula1>Lists!$A$2:$A$7</formula1>
      <formula2>0</formula2>
    </dataValidation>
    <dataValidation sqref="K5:K300" showDropDown="0" showInputMessage="0" showErrorMessage="1" allowBlank="1" errorTitle="قيمة غير مسموحة" error="اختر من القائمة" type="list" errorStyle="stop" operator="between">
      <formula1>Lists!$B$2:$B$4</formula1>
      <formula2>0</formula2>
    </dataValidation>
    <dataValidation sqref="L5:L300" showDropDown="0" showInputMessage="0" showErrorMessage="1" allowBlank="1" errorTitle="قيمة غير مسموحة" error="اختر من القائمة" type="list" errorStyle="stop" operator="between">
      <formula1>Lists!$C$2:$C$4</formula1>
      <formula2>0</formula2>
    </dataValidation>
    <dataValidation sqref="S5:S300" showDropDown="0" showInputMessage="0" showErrorMessage="1" allowBlank="1" errorTitle="قيمة غير مسموحة" error="اختر من القائمة" type="list" errorStyle="stop" operator="between">
      <formula1>Lists!$D$2:$D$3</formula1>
      <formula2>0</formula2>
    </dataValidation>
    <dataValidation sqref="B5:B300" showDropDown="0" showInputMessage="0" showErrorMessage="1" allowBlank="1" errorTitle="قيمة غير مسموحة" error="اختر من القائمة" type="list" errorStyle="stop" operator="between">
      <formula1>Lists!$J$2:$J$21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0AD47"/>
    <outlinePr summaryBelow="1" summaryRight="1"/>
    <pageSetUpPr fitToPage="0"/>
  </sheetPr>
  <dimension ref="A1:R41"/>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25" min="1" max="1"/>
    <col width="34" customWidth="1" style="25" min="2" max="2"/>
    <col width="30" customWidth="1" style="25" min="3" max="3"/>
    <col width="28" customWidth="1" style="25" min="4" max="4"/>
    <col width="11" customWidth="1" style="25" min="5" max="5"/>
    <col width="9" customWidth="1" style="25" min="6" max="6"/>
    <col width="14" customWidth="1" style="25" min="7" max="7"/>
    <col width="46" customWidth="1" style="25" min="8" max="8"/>
    <col width="11" customWidth="1" style="25" min="9" max="9"/>
    <col width="16" customWidth="1" style="25" min="10" max="10"/>
    <col width="9" customWidth="1" style="25" min="11" max="12"/>
    <col width="10" customWidth="1" style="25" min="13" max="13"/>
    <col width="9" customWidth="1" style="25" min="14" max="16"/>
    <col width="20" customWidth="1" style="25" min="17" max="17"/>
    <col width="28" customWidth="1" style="25" min="18" max="18"/>
  </cols>
  <sheetData>
    <row r="1" ht="42" customHeight="1" s="26">
      <c r="A1" s="27" t="inlineStr">
        <is>
          <t>مصفوفة المتطلبات (FR) والتتبّع</t>
        </is>
      </c>
      <c r="B1" s="28" t="n"/>
      <c r="C1" s="28" t="n"/>
      <c r="D1" s="28" t="n"/>
      <c r="E1" s="28" t="n"/>
      <c r="F1" s="28" t="n"/>
      <c r="G1" s="28" t="n"/>
      <c r="H1" s="28" t="n"/>
      <c r="I1" s="28" t="n"/>
      <c r="J1" s="28" t="n"/>
      <c r="K1" s="28" t="n"/>
      <c r="L1" s="28" t="n"/>
      <c r="M1" s="28" t="n"/>
      <c r="N1" s="28" t="n"/>
      <c r="O1" s="28" t="n"/>
      <c r="P1" s="28" t="n"/>
      <c r="Q1" s="28" t="n"/>
      <c r="R1" s="28" t="n"/>
    </row>
    <row r="2" ht="42" customHeight="1" s="26">
      <c r="A2" s="32" t="inlineStr">
        <is>
          <t>الأساس = تقرير جاهزية الفرونت (30 FR) + 7 FRs داعمة من SRS. الحالة الحالية محسوبة من Tasks وUAT: «جاهز» تتطلب اكتمال كل المهام ونجاح كل بنود UAT.</t>
        </is>
      </c>
      <c r="B2" s="28" t="n"/>
      <c r="C2" s="28" t="n"/>
      <c r="D2" s="28" t="n"/>
      <c r="E2" s="28" t="n"/>
      <c r="F2" s="28" t="n"/>
      <c r="G2" s="28" t="n"/>
      <c r="H2" s="28" t="n"/>
      <c r="I2" s="28" t="n"/>
      <c r="J2" s="28" t="n"/>
      <c r="K2" s="28" t="n"/>
      <c r="L2" s="28" t="n"/>
      <c r="M2" s="28" t="n"/>
      <c r="N2" s="28" t="n"/>
      <c r="O2" s="28" t="n"/>
      <c r="P2" s="28" t="n"/>
      <c r="Q2" s="28" t="n"/>
      <c r="R2" s="28" t="n"/>
    </row>
    <row r="3" ht="42" customHeight="1" s="26">
      <c r="A3" s="28" t="n"/>
      <c r="B3" s="28" t="n"/>
      <c r="C3" s="28" t="n"/>
      <c r="D3" s="28" t="n"/>
      <c r="E3" s="28" t="n"/>
      <c r="F3" s="28" t="n"/>
      <c r="G3" s="28" t="n"/>
      <c r="H3" s="28" t="n"/>
      <c r="I3" s="28" t="n"/>
      <c r="J3" s="28" t="n"/>
      <c r="K3" s="28" t="n"/>
      <c r="L3" s="28" t="n"/>
      <c r="M3" s="28" t="n"/>
      <c r="N3" s="28" t="n"/>
      <c r="O3" s="28" t="n"/>
      <c r="P3" s="28" t="n"/>
      <c r="Q3" s="28" t="n"/>
      <c r="R3" s="28" t="n"/>
    </row>
    <row r="4" ht="42" customHeight="1" s="26">
      <c r="A4" s="40" t="inlineStr">
        <is>
          <t>FR</t>
        </is>
      </c>
      <c r="B4" s="40" t="inlineStr">
        <is>
          <t>العنوان (EN)</t>
        </is>
      </c>
      <c r="C4" s="40" t="inlineStr">
        <is>
          <t>العنوان (AR)</t>
        </is>
      </c>
      <c r="D4" s="40" t="inlineStr">
        <is>
          <t>الوحدة (SRS)</t>
        </is>
      </c>
      <c r="E4" s="40" t="inlineStr">
        <is>
          <t>الدور</t>
        </is>
      </c>
      <c r="F4" s="40" t="inlineStr">
        <is>
          <t>أولوية SRS</t>
        </is>
      </c>
      <c r="G4" s="40" t="inlineStr">
        <is>
          <t>حالة التقرير (الأساس)</t>
        </is>
      </c>
      <c r="H4" s="40" t="inlineStr">
        <is>
          <t>تفاصيل التقرير</t>
        </is>
      </c>
      <c r="I4" s="40" t="inlineStr">
        <is>
          <t>ضمن الـ30؟</t>
        </is>
      </c>
      <c r="J4" s="40" t="inlineStr">
        <is>
          <t>WPs</t>
        </is>
      </c>
      <c r="K4" s="40" t="inlineStr">
        <is>
          <t>مهام (كلي)</t>
        </is>
      </c>
      <c r="L4" s="40" t="inlineStr">
        <is>
          <t>مكتمل</t>
        </is>
      </c>
      <c r="M4" s="40" t="inlineStr">
        <is>
          <t>قيد التنفيذ</t>
        </is>
      </c>
      <c r="N4" s="40" t="inlineStr">
        <is>
          <t>UAT كلي</t>
        </is>
      </c>
      <c r="O4" s="40" t="inlineStr">
        <is>
          <t>UAT نجح</t>
        </is>
      </c>
      <c r="P4" s="40" t="inlineStr">
        <is>
          <t>UAT فشل</t>
        </is>
      </c>
      <c r="Q4" s="40" t="inlineStr">
        <is>
          <t>الحالة الحالية (محسوبة)</t>
        </is>
      </c>
      <c r="R4" s="40" t="inlineStr">
        <is>
          <t>ملاحظات</t>
        </is>
      </c>
    </row>
    <row r="5" ht="42" customHeight="1" s="26">
      <c r="A5" s="41" t="inlineStr">
        <is>
          <t>FR-I02</t>
        </is>
      </c>
      <c r="B5" s="31" t="inlineStr">
        <is>
          <t>Configure In-Person Student Group</t>
        </is>
      </c>
      <c r="C5" s="31" t="inlineStr">
        <is>
          <t>إعداد مجموعة طلاب حضورية</t>
        </is>
      </c>
      <c r="D5" s="31" t="inlineStr">
        <is>
          <t>Instructor Course &amp; Lesson Mgmt</t>
        </is>
      </c>
      <c r="E5" s="31" t="inlineStr">
        <is>
          <t>معلم</t>
        </is>
      </c>
      <c r="F5" s="31" t="inlineStr">
        <is>
          <t>Must</t>
        </is>
      </c>
      <c r="G5" s="31" t="inlineStr">
        <is>
          <t>غير جاهز</t>
        </is>
      </c>
      <c r="H5" s="31" t="inlineStr">
        <is>
          <t>لا توجد واجهة للمعلم لإعداد مجموعة حضورية وجدولها</t>
        </is>
      </c>
      <c r="I5" s="31" t="inlineStr">
        <is>
          <t>نعم</t>
        </is>
      </c>
      <c r="J5" s="31" t="inlineStr">
        <is>
          <t>WP-T2</t>
        </is>
      </c>
      <c r="K5" s="43">
        <f>COUNTIF(Tasks!$D$5:$D$300,A5)</f>
        <v/>
      </c>
      <c r="L5" s="43">
        <f>COUNTIFS(Tasks!$D$5:$D$300,A5,Tasks!$M$5:$M$300,"مكتمل")</f>
        <v/>
      </c>
      <c r="M5" s="43">
        <f>COUNTIFS(Tasks!$D$5:$D$300,A5,Tasks!$M$5:$M$300,"قيد التنفيذ")+COUNTIFS(Tasks!$D$5:$D$300,A5,Tasks!$M$5:$M$300,"قيد المراجعة")</f>
        <v/>
      </c>
      <c r="N5" s="43">
        <f>COUNTIF(UAT!$B$5:$B$300,A5)</f>
        <v/>
      </c>
      <c r="O5" s="43">
        <f>COUNTIFS(UAT!$B$5:$B$300,A5,UAT!$H$5:$H$300,"نجح")</f>
        <v/>
      </c>
      <c r="P5" s="43">
        <f>COUNTIFS(UAT!$B$5:$B$300,A5,UAT!$H$5:$H$300,"فشل")</f>
        <v/>
      </c>
      <c r="Q5" s="43">
        <f>IF(G5="جاهز","جاهز (أصلي)",IF(K5=0,"—",IF(AND(L5=K5,N5&gt;0,O5=N5),"جاهز",IF(L5=K5,"مكتمل – بانتظار UAT",IF(L5+M5&gt;0,"قيد التنفيذ","لم يبدأ")))))</f>
        <v/>
      </c>
      <c r="R5" s="30" t="n"/>
    </row>
    <row r="6" ht="42" customHeight="1" s="26">
      <c r="A6" s="41" t="inlineStr">
        <is>
          <t>FR-I03</t>
        </is>
      </c>
      <c r="B6" s="31" t="inlineStr">
        <is>
          <t>View In-Person Group Students</t>
        </is>
      </c>
      <c r="C6" s="31" t="inlineStr">
        <is>
          <t>عرض طلاب المجموعة</t>
        </is>
      </c>
      <c r="D6" s="31" t="inlineStr">
        <is>
          <t>Instructor Course &amp; Lesson Mgmt</t>
        </is>
      </c>
      <c r="E6" s="31" t="inlineStr">
        <is>
          <t>معلم</t>
        </is>
      </c>
      <c r="F6" s="31" t="inlineStr">
        <is>
          <t>Must</t>
        </is>
      </c>
      <c r="G6" s="31" t="inlineStr">
        <is>
          <t>غير جاهز</t>
        </is>
      </c>
      <c r="H6" s="31" t="inlineStr">
        <is>
          <t>لا توجد صفحة تعرض طلاب المجموعة للمعلم</t>
        </is>
      </c>
      <c r="I6" s="31" t="inlineStr">
        <is>
          <t>نعم</t>
        </is>
      </c>
      <c r="J6" s="31" t="inlineStr">
        <is>
          <t>WP-T3</t>
        </is>
      </c>
      <c r="K6" s="43">
        <f>COUNTIF(Tasks!$D$5:$D$300,A6)</f>
        <v/>
      </c>
      <c r="L6" s="43">
        <f>COUNTIFS(Tasks!$D$5:$D$300,A6,Tasks!$M$5:$M$300,"مكتمل")</f>
        <v/>
      </c>
      <c r="M6" s="43">
        <f>COUNTIFS(Tasks!$D$5:$D$300,A6,Tasks!$M$5:$M$300,"قيد التنفيذ")+COUNTIFS(Tasks!$D$5:$D$300,A6,Tasks!$M$5:$M$300,"قيد المراجعة")</f>
        <v/>
      </c>
      <c r="N6" s="43">
        <f>COUNTIF(UAT!$B$5:$B$300,A6)</f>
        <v/>
      </c>
      <c r="O6" s="43">
        <f>COUNTIFS(UAT!$B$5:$B$300,A6,UAT!$H$5:$H$300,"نجح")</f>
        <v/>
      </c>
      <c r="P6" s="43">
        <f>COUNTIFS(UAT!$B$5:$B$300,A6,UAT!$H$5:$H$300,"فشل")</f>
        <v/>
      </c>
      <c r="Q6" s="43">
        <f>IF(G6="جاهز","جاهز (أصلي)",IF(K6=0,"—",IF(AND(L6=K6,N6&gt;0,O6=N6),"جاهز",IF(L6=K6,"مكتمل – بانتظار UAT",IF(L6+M6&gt;0,"قيد التنفيذ","لم يبدأ")))))</f>
        <v/>
      </c>
      <c r="R6" s="30" t="n"/>
    </row>
    <row r="7" ht="42" customHeight="1" s="26">
      <c r="A7" s="41" t="inlineStr">
        <is>
          <t>FR-I04</t>
        </is>
      </c>
      <c r="B7" s="31" t="inlineStr">
        <is>
          <t>Create/Schedule In-Person Lessons</t>
        </is>
      </c>
      <c r="C7" s="31" t="inlineStr">
        <is>
          <t>إنشاء وجدولة دروس حضورية</t>
        </is>
      </c>
      <c r="D7" s="31" t="inlineStr">
        <is>
          <t>Instructor Course &amp; Lesson Mgmt</t>
        </is>
      </c>
      <c r="E7" s="31" t="inlineStr">
        <is>
          <t>معلم</t>
        </is>
      </c>
      <c r="F7" s="31" t="inlineStr">
        <is>
          <t>Must</t>
        </is>
      </c>
      <c r="G7" s="31" t="inlineStr">
        <is>
          <t>غير جاهز</t>
        </is>
      </c>
      <c r="H7" s="31" t="inlineStr">
        <is>
          <t>lessons.ts يحتوي API فقط بدون واجهة إنشاء/جدولة</t>
        </is>
      </c>
      <c r="I7" s="31" t="inlineStr">
        <is>
          <t>نعم</t>
        </is>
      </c>
      <c r="J7" s="31" t="inlineStr">
        <is>
          <t>WP-T4</t>
        </is>
      </c>
      <c r="K7" s="43">
        <f>COUNTIF(Tasks!$D$5:$D$300,A7)</f>
        <v/>
      </c>
      <c r="L7" s="43">
        <f>COUNTIFS(Tasks!$D$5:$D$300,A7,Tasks!$M$5:$M$300,"مكتمل")</f>
        <v/>
      </c>
      <c r="M7" s="43">
        <f>COUNTIFS(Tasks!$D$5:$D$300,A7,Tasks!$M$5:$M$300,"قيد التنفيذ")+COUNTIFS(Tasks!$D$5:$D$300,A7,Tasks!$M$5:$M$300,"قيد المراجعة")</f>
        <v/>
      </c>
      <c r="N7" s="43">
        <f>COUNTIF(UAT!$B$5:$B$300,A7)</f>
        <v/>
      </c>
      <c r="O7" s="43">
        <f>COUNTIFS(UAT!$B$5:$B$300,A7,UAT!$H$5:$H$300,"نجح")</f>
        <v/>
      </c>
      <c r="P7" s="43">
        <f>COUNTIFS(UAT!$B$5:$B$300,A7,UAT!$H$5:$H$300,"فشل")</f>
        <v/>
      </c>
      <c r="Q7" s="43">
        <f>IF(G7="جاهز","جاهز (أصلي)",IF(K7=0,"—",IF(AND(L7=K7,N7&gt;0,O7=N7),"جاهز",IF(L7=K7,"مكتمل – بانتظار UAT",IF(L7+M7&gt;0,"قيد التنفيذ","لم يبدأ")))))</f>
        <v/>
      </c>
      <c r="R7" s="30" t="n"/>
    </row>
    <row r="8" ht="42" customHeight="1" s="26">
      <c r="A8" s="41" t="inlineStr">
        <is>
          <t>FR-I06</t>
        </is>
      </c>
      <c r="B8" s="31" t="inlineStr">
        <is>
          <t>Configure Online Course Group</t>
        </is>
      </c>
      <c r="C8" s="31" t="inlineStr">
        <is>
          <t>إعداد مجموعة كورس أونلاين</t>
        </is>
      </c>
      <c r="D8" s="31" t="inlineStr">
        <is>
          <t>Instructor Course &amp; Lesson Mgmt</t>
        </is>
      </c>
      <c r="E8" s="31" t="inlineStr">
        <is>
          <t>معلم</t>
        </is>
      </c>
      <c r="F8" s="31" t="inlineStr">
        <is>
          <t>Must</t>
        </is>
      </c>
      <c r="G8" s="31" t="inlineStr">
        <is>
          <t>غير جاهز</t>
        </is>
      </c>
      <c r="H8" s="31" t="inlineStr">
        <is>
          <t>لا توجد واجهة للمعلم لإعداد المجموعة الإلكترونية</t>
        </is>
      </c>
      <c r="I8" s="31" t="inlineStr">
        <is>
          <t>نعم</t>
        </is>
      </c>
      <c r="J8" s="31" t="inlineStr">
        <is>
          <t>WP-T2</t>
        </is>
      </c>
      <c r="K8" s="43">
        <f>COUNTIF(Tasks!$D$5:$D$300,A8)</f>
        <v/>
      </c>
      <c r="L8" s="43">
        <f>COUNTIFS(Tasks!$D$5:$D$300,A8,Tasks!$M$5:$M$300,"مكتمل")</f>
        <v/>
      </c>
      <c r="M8" s="43">
        <f>COUNTIFS(Tasks!$D$5:$D$300,A8,Tasks!$M$5:$M$300,"قيد التنفيذ")+COUNTIFS(Tasks!$D$5:$D$300,A8,Tasks!$M$5:$M$300,"قيد المراجعة")</f>
        <v/>
      </c>
      <c r="N8" s="43">
        <f>COUNTIF(UAT!$B$5:$B$300,A8)</f>
        <v/>
      </c>
      <c r="O8" s="43">
        <f>COUNTIFS(UAT!$B$5:$B$300,A8,UAT!$H$5:$H$300,"نجح")</f>
        <v/>
      </c>
      <c r="P8" s="43">
        <f>COUNTIFS(UAT!$B$5:$B$300,A8,UAT!$H$5:$H$300,"فشل")</f>
        <v/>
      </c>
      <c r="Q8" s="43">
        <f>IF(G8="جاهز","جاهز (أصلي)",IF(K8=0,"—",IF(AND(L8=K8,N8&gt;0,O8=N8),"جاهز",IF(L8=K8,"مكتمل – بانتظار UAT",IF(L8+M8&gt;0,"قيد التنفيذ","لم يبدأ")))))</f>
        <v/>
      </c>
      <c r="R8" s="30" t="n"/>
    </row>
    <row r="9" ht="42" customHeight="1" s="26">
      <c r="A9" s="41" t="inlineStr">
        <is>
          <t>FR-I08</t>
        </is>
      </c>
      <c r="B9" s="31" t="inlineStr">
        <is>
          <t>Create/Schedule Online Lessons</t>
        </is>
      </c>
      <c r="C9" s="31" t="inlineStr">
        <is>
          <t>إنشاء وجدولة دروس أونلاين</t>
        </is>
      </c>
      <c r="D9" s="31" t="inlineStr">
        <is>
          <t>Instructor Course &amp; Lesson Mgmt</t>
        </is>
      </c>
      <c r="E9" s="31" t="inlineStr">
        <is>
          <t>معلم</t>
        </is>
      </c>
      <c r="F9" s="31" t="inlineStr">
        <is>
          <t>Must</t>
        </is>
      </c>
      <c r="G9" s="31" t="inlineStr">
        <is>
          <t>غير جاهز</t>
        </is>
      </c>
      <c r="H9" s="31" t="inlineStr">
        <is>
          <t>API موجود في lessons.ts بدون واجهة للمعلم</t>
        </is>
      </c>
      <c r="I9" s="31" t="inlineStr">
        <is>
          <t>نعم</t>
        </is>
      </c>
      <c r="J9" s="31" t="inlineStr">
        <is>
          <t>WP-T4</t>
        </is>
      </c>
      <c r="K9" s="43">
        <f>COUNTIF(Tasks!$D$5:$D$300,A9)</f>
        <v/>
      </c>
      <c r="L9" s="43">
        <f>COUNTIFS(Tasks!$D$5:$D$300,A9,Tasks!$M$5:$M$300,"مكتمل")</f>
        <v/>
      </c>
      <c r="M9" s="43">
        <f>COUNTIFS(Tasks!$D$5:$D$300,A9,Tasks!$M$5:$M$300,"قيد التنفيذ")+COUNTIFS(Tasks!$D$5:$D$300,A9,Tasks!$M$5:$M$300,"قيد المراجعة")</f>
        <v/>
      </c>
      <c r="N9" s="43">
        <f>COUNTIF(UAT!$B$5:$B$300,A9)</f>
        <v/>
      </c>
      <c r="O9" s="43">
        <f>COUNTIFS(UAT!$B$5:$B$300,A9,UAT!$H$5:$H$300,"نجح")</f>
        <v/>
      </c>
      <c r="P9" s="43">
        <f>COUNTIFS(UAT!$B$5:$B$300,A9,UAT!$H$5:$H$300,"فشل")</f>
        <v/>
      </c>
      <c r="Q9" s="43">
        <f>IF(G9="جاهز","جاهز (أصلي)",IF(K9=0,"—",IF(AND(L9=K9,N9&gt;0,O9=N9),"جاهز",IF(L9=K9,"مكتمل – بانتظار UAT",IF(L9+M9&gt;0,"قيد التنفيذ","لم يبدأ")))))</f>
        <v/>
      </c>
      <c r="R9" s="30" t="n"/>
    </row>
    <row r="10" ht="42" customHeight="1" s="26">
      <c r="A10" s="41" t="inlineStr">
        <is>
          <t>FR-T06</t>
        </is>
      </c>
      <c r="B10" s="31" t="inlineStr">
        <is>
          <t>Process Booking Payment</t>
        </is>
      </c>
      <c r="C10" s="31" t="inlineStr">
        <is>
          <t>معالجة دفع الحجز</t>
        </is>
      </c>
      <c r="D10" s="31" t="inlineStr">
        <is>
          <t>Teacher Discovery &amp; Booking</t>
        </is>
      </c>
      <c r="E10" s="31" t="inlineStr">
        <is>
          <t>طالب/نظام</t>
        </is>
      </c>
      <c r="F10" s="31" t="inlineStr">
        <is>
          <t>Must</t>
        </is>
      </c>
      <c r="G10" s="31" t="inlineStr">
        <is>
          <t>غير جاهز</t>
        </is>
      </c>
      <c r="H10" s="31" t="inlineStr">
        <is>
          <t>لا توجد شاشة حجز؛ زر الحجز في صفحة المعلم معطّل</t>
        </is>
      </c>
      <c r="I10" s="31" t="inlineStr">
        <is>
          <t>نعم</t>
        </is>
      </c>
      <c r="J10" s="31" t="inlineStr">
        <is>
          <t>WP-S1, WP-T5</t>
        </is>
      </c>
      <c r="K10" s="43">
        <f>COUNTIF(Tasks!$D$5:$D$300,A10)</f>
        <v/>
      </c>
      <c r="L10" s="43">
        <f>COUNTIFS(Tasks!$D$5:$D$300,A10,Tasks!$M$5:$M$300,"مكتمل")</f>
        <v/>
      </c>
      <c r="M10" s="43">
        <f>COUNTIFS(Tasks!$D$5:$D$300,A10,Tasks!$M$5:$M$300,"قيد التنفيذ")+COUNTIFS(Tasks!$D$5:$D$300,A10,Tasks!$M$5:$M$300,"قيد المراجعة")</f>
        <v/>
      </c>
      <c r="N10" s="43">
        <f>COUNTIF(UAT!$B$5:$B$300,A10)</f>
        <v/>
      </c>
      <c r="O10" s="43">
        <f>COUNTIFS(UAT!$B$5:$B$300,A10,UAT!$H$5:$H$300,"نجح")</f>
        <v/>
      </c>
      <c r="P10" s="43">
        <f>COUNTIFS(UAT!$B$5:$B$300,A10,UAT!$H$5:$H$300,"فشل")</f>
        <v/>
      </c>
      <c r="Q10" s="43">
        <f>IF(G10="جاهز","جاهز (أصلي)",IF(K10=0,"—",IF(AND(L10=K10,N10&gt;0,O10=N10),"جاهز",IF(L10=K10,"مكتمل – بانتظار UAT",IF(L10+M10&gt;0,"قيد التنفيذ","لم يبدأ")))))</f>
        <v/>
      </c>
      <c r="R10" s="30" t="n"/>
    </row>
    <row r="11" ht="42" customHeight="1" s="26">
      <c r="A11" s="41" t="inlineStr">
        <is>
          <t>FR-T11</t>
        </is>
      </c>
      <c r="B11" s="31" t="inlineStr">
        <is>
          <t>Rate Teacher After Completed Session</t>
        </is>
      </c>
      <c r="C11" s="31" t="inlineStr">
        <is>
          <t>تقييم المعلم بعد الجلسة</t>
        </is>
      </c>
      <c r="D11" s="31" t="inlineStr">
        <is>
          <t>Teacher Discovery &amp; Booking</t>
        </is>
      </c>
      <c r="E11" s="31" t="inlineStr">
        <is>
          <t>طالب</t>
        </is>
      </c>
      <c r="F11" s="31" t="inlineStr">
        <is>
          <t>Should</t>
        </is>
      </c>
      <c r="G11" s="31" t="inlineStr">
        <is>
          <t>غير جاهز</t>
        </is>
      </c>
      <c r="H11" s="31" t="inlineStr">
        <is>
          <t>rateBooking() موجود API فقط بدون UI للتقييم</t>
        </is>
      </c>
      <c r="I11" s="31" t="inlineStr">
        <is>
          <t>نعم</t>
        </is>
      </c>
      <c r="J11" s="31" t="inlineStr">
        <is>
          <t>WP-S4</t>
        </is>
      </c>
      <c r="K11" s="43">
        <f>COUNTIF(Tasks!$D$5:$D$300,A11)</f>
        <v/>
      </c>
      <c r="L11" s="43">
        <f>COUNTIFS(Tasks!$D$5:$D$300,A11,Tasks!$M$5:$M$300,"مكتمل")</f>
        <v/>
      </c>
      <c r="M11" s="43">
        <f>COUNTIFS(Tasks!$D$5:$D$300,A11,Tasks!$M$5:$M$300,"قيد التنفيذ")+COUNTIFS(Tasks!$D$5:$D$300,A11,Tasks!$M$5:$M$300,"قيد المراجعة")</f>
        <v/>
      </c>
      <c r="N11" s="43">
        <f>COUNTIF(UAT!$B$5:$B$300,A11)</f>
        <v/>
      </c>
      <c r="O11" s="43">
        <f>COUNTIFS(UAT!$B$5:$B$300,A11,UAT!$H$5:$H$300,"نجح")</f>
        <v/>
      </c>
      <c r="P11" s="43">
        <f>COUNTIFS(UAT!$B$5:$B$300,A11,UAT!$H$5:$H$300,"فشل")</f>
        <v/>
      </c>
      <c r="Q11" s="43">
        <f>IF(G11="جاهز","جاهز (أصلي)",IF(K11=0,"—",IF(AND(L11=K11,N11&gt;0,O11=N11),"جاهز",IF(L11=K11,"مكتمل – بانتظار UAT",IF(L11+M11&gt;0,"قيد التنفيذ","لم يبدأ")))))</f>
        <v/>
      </c>
      <c r="R11" s="30" t="n"/>
    </row>
    <row r="12" ht="42" customHeight="1" s="26">
      <c r="A12" s="41" t="inlineStr">
        <is>
          <t>FR-W03a</t>
        </is>
      </c>
      <c r="B12" s="31" t="inlineStr">
        <is>
          <t>Deduct Enrollment Fee from Student Wallet</t>
        </is>
      </c>
      <c r="C12" s="31" t="inlineStr">
        <is>
          <t>خصم رسوم التسجيل من محفظة الطالب</t>
        </is>
      </c>
      <c r="D12" s="31" t="inlineStr">
        <is>
          <t>Wallet Management</t>
        </is>
      </c>
      <c r="E12" s="31" t="inlineStr">
        <is>
          <t>نظام</t>
        </is>
      </c>
      <c r="F12" s="31" t="inlineStr">
        <is>
          <t>Must</t>
        </is>
      </c>
      <c r="G12" s="31" t="inlineStr">
        <is>
          <t>جزئي</t>
        </is>
      </c>
      <c r="H12" s="31" t="inlineStr">
        <is>
          <t>صفحة المحفظة تعرض الرصيد لكن لا توجد واجهة خصم/تسجيل</t>
        </is>
      </c>
      <c r="I12" s="31" t="inlineStr">
        <is>
          <t>نعم</t>
        </is>
      </c>
      <c r="J12" s="31" t="inlineStr">
        <is>
          <t>WP-W1</t>
        </is>
      </c>
      <c r="K12" s="43">
        <f>COUNTIF(Tasks!$D$5:$D$300,A12)</f>
        <v/>
      </c>
      <c r="L12" s="43">
        <f>COUNTIFS(Tasks!$D$5:$D$300,A12,Tasks!$M$5:$M$300,"مكتمل")</f>
        <v/>
      </c>
      <c r="M12" s="43">
        <f>COUNTIFS(Tasks!$D$5:$D$300,A12,Tasks!$M$5:$M$300,"قيد التنفيذ")+COUNTIFS(Tasks!$D$5:$D$300,A12,Tasks!$M$5:$M$300,"قيد المراجعة")</f>
        <v/>
      </c>
      <c r="N12" s="43">
        <f>COUNTIF(UAT!$B$5:$B$300,A12)</f>
        <v/>
      </c>
      <c r="O12" s="43">
        <f>COUNTIFS(UAT!$B$5:$B$300,A12,UAT!$H$5:$H$300,"نجح")</f>
        <v/>
      </c>
      <c r="P12" s="43">
        <f>COUNTIFS(UAT!$B$5:$B$300,A12,UAT!$H$5:$H$300,"فشل")</f>
        <v/>
      </c>
      <c r="Q12" s="43">
        <f>IF(G12="جاهز","جاهز (أصلي)",IF(K12=0,"—",IF(AND(L12=K12,N12&gt;0,O12=N12),"جاهز",IF(L12=K12,"مكتمل – بانتظار UAT",IF(L12+M12&gt;0,"قيد التنفيذ","لم يبدأ")))))</f>
        <v/>
      </c>
      <c r="R12" s="30" t="n"/>
    </row>
    <row r="13" ht="42" customHeight="1" s="26">
      <c r="A13" s="41" t="inlineStr">
        <is>
          <t>FR-W03b</t>
        </is>
      </c>
      <c r="B13" s="31" t="inlineStr">
        <is>
          <t>Credit Instructor Wallet After Commission</t>
        </is>
      </c>
      <c r="C13" s="31" t="inlineStr">
        <is>
          <t>إيداع أرباح المعلم بعد العمولة</t>
        </is>
      </c>
      <c r="D13" s="31" t="inlineStr">
        <is>
          <t>Wallet Management</t>
        </is>
      </c>
      <c r="E13" s="31" t="inlineStr">
        <is>
          <t>نظام</t>
        </is>
      </c>
      <c r="F13" s="31" t="inlineStr">
        <is>
          <t>Must</t>
        </is>
      </c>
      <c r="G13" s="31" t="inlineStr">
        <is>
          <t>جزئي</t>
        </is>
      </c>
      <c r="H13" s="31" t="inlineStr">
        <is>
          <t>واجهة أرباح المعلم موجودة لكن عملية الخصم/الإيداع في الباك اند</t>
        </is>
      </c>
      <c r="I13" s="31" t="inlineStr">
        <is>
          <t>نعم</t>
        </is>
      </c>
      <c r="J13" s="31" t="inlineStr">
        <is>
          <t>WP-W2</t>
        </is>
      </c>
      <c r="K13" s="43">
        <f>COUNTIF(Tasks!$D$5:$D$300,A13)</f>
        <v/>
      </c>
      <c r="L13" s="43">
        <f>COUNTIFS(Tasks!$D$5:$D$300,A13,Tasks!$M$5:$M$300,"مكتمل")</f>
        <v/>
      </c>
      <c r="M13" s="43">
        <f>COUNTIFS(Tasks!$D$5:$D$300,A13,Tasks!$M$5:$M$300,"قيد التنفيذ")+COUNTIFS(Tasks!$D$5:$D$300,A13,Tasks!$M$5:$M$300,"قيد المراجعة")</f>
        <v/>
      </c>
      <c r="N13" s="43">
        <f>COUNTIF(UAT!$B$5:$B$300,A13)</f>
        <v/>
      </c>
      <c r="O13" s="43">
        <f>COUNTIFS(UAT!$B$5:$B$300,A13,UAT!$H$5:$H$300,"نجح")</f>
        <v/>
      </c>
      <c r="P13" s="43">
        <f>COUNTIFS(UAT!$B$5:$B$300,A13,UAT!$H$5:$H$300,"فشل")</f>
        <v/>
      </c>
      <c r="Q13" s="43">
        <f>IF(G13="جاهز","جاهز (أصلي)",IF(K13=0,"—",IF(AND(L13=K13,N13&gt;0,O13=N13),"جاهز",IF(L13=K13,"مكتمل – بانتظار UAT",IF(L13+M13&gt;0,"قيد التنفيذ","لم يبدأ")))))</f>
        <v/>
      </c>
      <c r="R13" s="30" t="n"/>
    </row>
    <row r="14" ht="42" customHeight="1" s="26">
      <c r="A14" s="41" t="inlineStr">
        <is>
          <t>FR-P04</t>
        </is>
      </c>
      <c r="B14" s="31" t="inlineStr">
        <is>
          <t>View Student Attendance</t>
        </is>
      </c>
      <c r="C14" s="31" t="inlineStr">
        <is>
          <t>عرض حضور الطالب (ولي أمر)</t>
        </is>
      </c>
      <c r="D14" s="31" t="inlineStr">
        <is>
          <t>Parent Academic Monitoring</t>
        </is>
      </c>
      <c r="E14" s="31" t="inlineStr">
        <is>
          <t>ولي أمر</t>
        </is>
      </c>
      <c r="F14" s="31" t="inlineStr">
        <is>
          <t>Must</t>
        </is>
      </c>
      <c r="G14" s="31" t="inlineStr">
        <is>
          <t>جاهز</t>
        </is>
      </c>
      <c r="H14" s="31" t="inlineStr">
        <is>
          <t>parent.report.tsx يعرض سجل حضور الطالب</t>
        </is>
      </c>
      <c r="I14" s="31" t="inlineStr">
        <is>
          <t>نعم</t>
        </is>
      </c>
      <c r="J14" s="31" t="inlineStr">
        <is>
          <t>—</t>
        </is>
      </c>
      <c r="K14" s="43">
        <f>COUNTIF(Tasks!$D$5:$D$300,A14)</f>
        <v/>
      </c>
      <c r="L14" s="43">
        <f>COUNTIFS(Tasks!$D$5:$D$300,A14,Tasks!$M$5:$M$300,"مكتمل")</f>
        <v/>
      </c>
      <c r="M14" s="43">
        <f>COUNTIFS(Tasks!$D$5:$D$300,A14,Tasks!$M$5:$M$300,"قيد التنفيذ")+COUNTIFS(Tasks!$D$5:$D$300,A14,Tasks!$M$5:$M$300,"قيد المراجعة")</f>
        <v/>
      </c>
      <c r="N14" s="43">
        <f>COUNTIF(UAT!$B$5:$B$300,A14)</f>
        <v/>
      </c>
      <c r="O14" s="43">
        <f>COUNTIFS(UAT!$B$5:$B$300,A14,UAT!$H$5:$H$300,"نجح")</f>
        <v/>
      </c>
      <c r="P14" s="43">
        <f>COUNTIFS(UAT!$B$5:$B$300,A14,UAT!$H$5:$H$300,"فشل")</f>
        <v/>
      </c>
      <c r="Q14" s="43">
        <f>IF(G14="جاهز","جاهز (أصلي)",IF(K14=0,"—",IF(AND(L14=K14,N14&gt;0,O14=N14),"جاهز",IF(L14=K14,"مكتمل – بانتظار UAT",IF(L14+M14&gt;0,"قيد التنفيذ","لم يبدأ")))))</f>
        <v/>
      </c>
      <c r="R14" s="30" t="n"/>
    </row>
    <row r="15" ht="42" customHeight="1" s="26">
      <c r="A15" s="41" t="inlineStr">
        <is>
          <t>FR-P05</t>
        </is>
      </c>
      <c r="B15" s="31" t="inlineStr">
        <is>
          <t>View Student Examination Results</t>
        </is>
      </c>
      <c r="C15" s="31" t="inlineStr">
        <is>
          <t>عرض نتائج الامتحانات (ولي أمر)</t>
        </is>
      </c>
      <c r="D15" s="31" t="inlineStr">
        <is>
          <t>Parent Academic Monitoring</t>
        </is>
      </c>
      <c r="E15" s="31" t="inlineStr">
        <is>
          <t>ولي أمر</t>
        </is>
      </c>
      <c r="F15" s="31" t="inlineStr">
        <is>
          <t>Must</t>
        </is>
      </c>
      <c r="G15" s="31" t="inlineStr">
        <is>
          <t>جاهز</t>
        </is>
      </c>
      <c r="H15" s="31" t="inlineStr">
        <is>
          <t>parent.report.tsx يعرض نتائج الامتحانات</t>
        </is>
      </c>
      <c r="I15" s="31" t="inlineStr">
        <is>
          <t>نعم</t>
        </is>
      </c>
      <c r="J15" s="31" t="inlineStr">
        <is>
          <t>—</t>
        </is>
      </c>
      <c r="K15" s="43">
        <f>COUNTIF(Tasks!$D$5:$D$300,A15)</f>
        <v/>
      </c>
      <c r="L15" s="43">
        <f>COUNTIFS(Tasks!$D$5:$D$300,A15,Tasks!$M$5:$M$300,"مكتمل")</f>
        <v/>
      </c>
      <c r="M15" s="43">
        <f>COUNTIFS(Tasks!$D$5:$D$300,A15,Tasks!$M$5:$M$300,"قيد التنفيذ")+COUNTIFS(Tasks!$D$5:$D$300,A15,Tasks!$M$5:$M$300,"قيد المراجعة")</f>
        <v/>
      </c>
      <c r="N15" s="43">
        <f>COUNTIF(UAT!$B$5:$B$300,A15)</f>
        <v/>
      </c>
      <c r="O15" s="43">
        <f>COUNTIFS(UAT!$B$5:$B$300,A15,UAT!$H$5:$H$300,"نجح")</f>
        <v/>
      </c>
      <c r="P15" s="43">
        <f>COUNTIFS(UAT!$B$5:$B$300,A15,UAT!$H$5:$H$300,"فشل")</f>
        <v/>
      </c>
      <c r="Q15" s="43">
        <f>IF(G15="جاهز","جاهز (أصلي)",IF(K15=0,"—",IF(AND(L15=K15,N15&gt;0,O15=N15),"جاهز",IF(L15=K15,"مكتمل – بانتظار UAT",IF(L15+M15&gt;0,"قيد التنفيذ","لم يبدأ")))))</f>
        <v/>
      </c>
      <c r="R15" s="30" t="n"/>
    </row>
    <row r="16" ht="42" customHeight="1" s="26">
      <c r="A16" s="41" t="inlineStr">
        <is>
          <t>FR-P06</t>
        </is>
      </c>
      <c r="B16" s="31" t="inlineStr">
        <is>
          <t>Calculate Student Attendance Rate</t>
        </is>
      </c>
      <c r="C16" s="31" t="inlineStr">
        <is>
          <t>احتساب نسبة الحضور</t>
        </is>
      </c>
      <c r="D16" s="31" t="inlineStr">
        <is>
          <t>Parent Academic Monitoring</t>
        </is>
      </c>
      <c r="E16" s="31" t="inlineStr">
        <is>
          <t>نظام</t>
        </is>
      </c>
      <c r="F16" s="31" t="inlineStr">
        <is>
          <t>Must</t>
        </is>
      </c>
      <c r="G16" s="31" t="inlineStr">
        <is>
          <t>جاهز</t>
        </is>
      </c>
      <c r="H16" s="31" t="inlineStr">
        <is>
          <t>النسبة تظهر في تقرير الابن</t>
        </is>
      </c>
      <c r="I16" s="31" t="inlineStr">
        <is>
          <t>نعم</t>
        </is>
      </c>
      <c r="J16" s="31" t="inlineStr">
        <is>
          <t>—</t>
        </is>
      </c>
      <c r="K16" s="43">
        <f>COUNTIF(Tasks!$D$5:$D$300,A16)</f>
        <v/>
      </c>
      <c r="L16" s="43">
        <f>COUNTIFS(Tasks!$D$5:$D$300,A16,Tasks!$M$5:$M$300,"مكتمل")</f>
        <v/>
      </c>
      <c r="M16" s="43">
        <f>COUNTIFS(Tasks!$D$5:$D$300,A16,Tasks!$M$5:$M$300,"قيد التنفيذ")+COUNTIFS(Tasks!$D$5:$D$300,A16,Tasks!$M$5:$M$300,"قيد المراجعة")</f>
        <v/>
      </c>
      <c r="N16" s="43">
        <f>COUNTIF(UAT!$B$5:$B$300,A16)</f>
        <v/>
      </c>
      <c r="O16" s="43">
        <f>COUNTIFS(UAT!$B$5:$B$300,A16,UAT!$H$5:$H$300,"نجح")</f>
        <v/>
      </c>
      <c r="P16" s="43">
        <f>COUNTIFS(UAT!$B$5:$B$300,A16,UAT!$H$5:$H$300,"فشل")</f>
        <v/>
      </c>
      <c r="Q16" s="43">
        <f>IF(G16="جاهز","جاهز (أصلي)",IF(K16=0,"—",IF(AND(L16=K16,N16&gt;0,O16=N16),"جاهز",IF(L16=K16,"مكتمل – بانتظار UAT",IF(L16+M16&gt;0,"قيد التنفيذ","لم يبدأ")))))</f>
        <v/>
      </c>
      <c r="R16" s="30" t="n"/>
    </row>
    <row r="17" ht="42" customHeight="1" s="26">
      <c r="A17" s="41" t="inlineStr">
        <is>
          <t>FR-P08</t>
        </is>
      </c>
      <c r="B17" s="31" t="inlineStr">
        <is>
          <t>Restrict Parent Access to Linked Students</t>
        </is>
      </c>
      <c r="C17" s="31" t="inlineStr">
        <is>
          <t>تقييد وصول ولي الأمر للأبناء المرتبطين</t>
        </is>
      </c>
      <c r="D17" s="31" t="inlineStr">
        <is>
          <t>Parent Academic Monitoring</t>
        </is>
      </c>
      <c r="E17" s="31" t="inlineStr">
        <is>
          <t>نظام</t>
        </is>
      </c>
      <c r="F17" s="31" t="inlineStr">
        <is>
          <t>Must</t>
        </is>
      </c>
      <c r="G17" s="31" t="inlineStr">
        <is>
          <t>جزئي</t>
        </is>
      </c>
      <c r="H17" s="31" t="inlineStr">
        <is>
          <t>مدعومة: تعتمد على getMyChildren والباك اند يتولى التحقق (يُصنَّف جزئيًا لتطابق ملخص التقرير 11/6/13)</t>
        </is>
      </c>
      <c r="I17" s="31" t="inlineStr">
        <is>
          <t>نعم</t>
        </is>
      </c>
      <c r="J17" s="31" t="inlineStr">
        <is>
          <t>WP-P1</t>
        </is>
      </c>
      <c r="K17" s="43">
        <f>COUNTIF(Tasks!$D$5:$D$300,A17)</f>
        <v/>
      </c>
      <c r="L17" s="43">
        <f>COUNTIFS(Tasks!$D$5:$D$300,A17,Tasks!$M$5:$M$300,"مكتمل")</f>
        <v/>
      </c>
      <c r="M17" s="43">
        <f>COUNTIFS(Tasks!$D$5:$D$300,A17,Tasks!$M$5:$M$300,"قيد التنفيذ")+COUNTIFS(Tasks!$D$5:$D$300,A17,Tasks!$M$5:$M$300,"قيد المراجعة")</f>
        <v/>
      </c>
      <c r="N17" s="43">
        <f>COUNTIF(UAT!$B$5:$B$300,A17)</f>
        <v/>
      </c>
      <c r="O17" s="43">
        <f>COUNTIFS(UAT!$B$5:$B$300,A17,UAT!$H$5:$H$300,"نجح")</f>
        <v/>
      </c>
      <c r="P17" s="43">
        <f>COUNTIFS(UAT!$B$5:$B$300,A17,UAT!$H$5:$H$300,"فشل")</f>
        <v/>
      </c>
      <c r="Q17" s="43">
        <f>IF(G17="جاهز","جاهز (أصلي)",IF(K17=0,"—",IF(AND(L17=K17,N17&gt;0,O17=N17),"جاهز",IF(L17=K17,"مكتمل – بانتظار UAT",IF(L17+M17&gt;0,"قيد التنفيذ","لم يبدأ")))))</f>
        <v/>
      </c>
      <c r="R17" s="30" t="n"/>
    </row>
    <row r="18" ht="42" customHeight="1" s="26">
      <c r="A18" s="41" t="inlineStr">
        <is>
          <t>FR-P11</t>
        </is>
      </c>
      <c r="B18" s="31" t="inlineStr">
        <is>
          <t>Display Parent Notifications</t>
        </is>
      </c>
      <c r="C18" s="31" t="inlineStr">
        <is>
          <t>عرض إشعارات ولي الأمر</t>
        </is>
      </c>
      <c r="D18" s="31" t="inlineStr">
        <is>
          <t>Parent Academic Monitoring</t>
        </is>
      </c>
      <c r="E18" s="31" t="inlineStr">
        <is>
          <t>ولي أمر</t>
        </is>
      </c>
      <c r="F18" s="31" t="inlineStr">
        <is>
          <t>Should</t>
        </is>
      </c>
      <c r="G18" s="31" t="inlineStr">
        <is>
          <t>غير جاهز</t>
        </is>
      </c>
      <c r="H18" s="31" t="inlineStr">
        <is>
          <t>unreadNotificationsCount موجود لكن لا يُعرض</t>
        </is>
      </c>
      <c r="I18" s="31" t="inlineStr">
        <is>
          <t>نعم</t>
        </is>
      </c>
      <c r="J18" s="31" t="inlineStr">
        <is>
          <t>WP-P1</t>
        </is>
      </c>
      <c r="K18" s="43">
        <f>COUNTIF(Tasks!$D$5:$D$300,A18)</f>
        <v/>
      </c>
      <c r="L18" s="43">
        <f>COUNTIFS(Tasks!$D$5:$D$300,A18,Tasks!$M$5:$M$300,"مكتمل")</f>
        <v/>
      </c>
      <c r="M18" s="43">
        <f>COUNTIFS(Tasks!$D$5:$D$300,A18,Tasks!$M$5:$M$300,"قيد التنفيذ")+COUNTIFS(Tasks!$D$5:$D$300,A18,Tasks!$M$5:$M$300,"قيد المراجعة")</f>
        <v/>
      </c>
      <c r="N18" s="43">
        <f>COUNTIF(UAT!$B$5:$B$300,A18)</f>
        <v/>
      </c>
      <c r="O18" s="43">
        <f>COUNTIFS(UAT!$B$5:$B$300,A18,UAT!$H$5:$H$300,"نجح")</f>
        <v/>
      </c>
      <c r="P18" s="43">
        <f>COUNTIFS(UAT!$B$5:$B$300,A18,UAT!$H$5:$H$300,"فشل")</f>
        <v/>
      </c>
      <c r="Q18" s="43">
        <f>IF(G18="جاهز","جاهز (أصلي)",IF(K18=0,"—",IF(AND(L18=K18,N18&gt;0,O18=N18),"جاهز",IF(L18=K18,"مكتمل – بانتظار UAT",IF(L18+M18&gt;0,"قيد التنفيذ","لم يبدأ")))))</f>
        <v/>
      </c>
      <c r="R18" s="30" t="n"/>
    </row>
    <row r="19" ht="42" customHeight="1" s="26">
      <c r="A19" s="41" t="inlineStr">
        <is>
          <t>FR-P13</t>
        </is>
      </c>
      <c r="B19" s="31" t="inlineStr">
        <is>
          <t>Display Student Name and Grade</t>
        </is>
      </c>
      <c r="C19" s="31" t="inlineStr">
        <is>
          <t>عرض اسم وصف الطالب</t>
        </is>
      </c>
      <c r="D19" s="31" t="inlineStr">
        <is>
          <t>Parent Academic Monitoring</t>
        </is>
      </c>
      <c r="E19" s="31" t="inlineStr">
        <is>
          <t>ولي أمر</t>
        </is>
      </c>
      <c r="F19" s="31" t="inlineStr">
        <is>
          <t>Must</t>
        </is>
      </c>
      <c r="G19" s="31" t="inlineStr">
        <is>
          <t>جاهز</t>
        </is>
      </c>
      <c r="H19" s="31" t="inlineStr">
        <is>
          <t>parent.settings/report يعرضان الاسم والصف</t>
        </is>
      </c>
      <c r="I19" s="31" t="inlineStr">
        <is>
          <t>نعم</t>
        </is>
      </c>
      <c r="J19" s="31" t="inlineStr">
        <is>
          <t>—</t>
        </is>
      </c>
      <c r="K19" s="43">
        <f>COUNTIF(Tasks!$D$5:$D$300,A19)</f>
        <v/>
      </c>
      <c r="L19" s="43">
        <f>COUNTIFS(Tasks!$D$5:$D$300,A19,Tasks!$M$5:$M$300,"مكتمل")</f>
        <v/>
      </c>
      <c r="M19" s="43">
        <f>COUNTIFS(Tasks!$D$5:$D$300,A19,Tasks!$M$5:$M$300,"قيد التنفيذ")+COUNTIFS(Tasks!$D$5:$D$300,A19,Tasks!$M$5:$M$300,"قيد المراجعة")</f>
        <v/>
      </c>
      <c r="N19" s="43">
        <f>COUNTIF(UAT!$B$5:$B$300,A19)</f>
        <v/>
      </c>
      <c r="O19" s="43">
        <f>COUNTIFS(UAT!$B$5:$B$300,A19,UAT!$H$5:$H$300,"نجح")</f>
        <v/>
      </c>
      <c r="P19" s="43">
        <f>COUNTIFS(UAT!$B$5:$B$300,A19,UAT!$H$5:$H$300,"فشل")</f>
        <v/>
      </c>
      <c r="Q19" s="43">
        <f>IF(G19="جاهز","جاهز (أصلي)",IF(K19=0,"—",IF(AND(L19=K19,N19&gt;0,O19=N19),"جاهز",IF(L19=K19,"مكتمل – بانتظار UAT",IF(L19+M19&gt;0,"قيد التنفيذ","لم يبدأ")))))</f>
        <v/>
      </c>
      <c r="R19" s="30" t="n"/>
    </row>
    <row r="20" ht="42" customHeight="1" s="26">
      <c r="A20" s="41" t="inlineStr">
        <is>
          <t>FR-S01</t>
        </is>
      </c>
      <c r="B20" s="31" t="inlineStr">
        <is>
          <t>View Student Dashboard</t>
        </is>
      </c>
      <c r="C20" s="31" t="inlineStr">
        <is>
          <t>لوحة الطالب</t>
        </is>
      </c>
      <c r="D20" s="31" t="inlineStr">
        <is>
          <t>Student Dashboard, Learning &amp; Booking</t>
        </is>
      </c>
      <c r="E20" s="31" t="inlineStr">
        <is>
          <t>طالب</t>
        </is>
      </c>
      <c r="F20" s="31" t="inlineStr">
        <is>
          <t>Must</t>
        </is>
      </c>
      <c r="G20" s="31" t="inlineStr">
        <is>
          <t>جاهز</t>
        </is>
      </c>
      <c r="H20" s="31" t="inlineStr">
        <is>
          <t>dashboard مربوط بـ getStudentDashboard()</t>
        </is>
      </c>
      <c r="I20" s="31" t="inlineStr">
        <is>
          <t>نعم</t>
        </is>
      </c>
      <c r="J20" s="31" t="inlineStr">
        <is>
          <t>—</t>
        </is>
      </c>
      <c r="K20" s="43">
        <f>COUNTIF(Tasks!$D$5:$D$300,A20)</f>
        <v/>
      </c>
      <c r="L20" s="43">
        <f>COUNTIFS(Tasks!$D$5:$D$300,A20,Tasks!$M$5:$M$300,"مكتمل")</f>
        <v/>
      </c>
      <c r="M20" s="43">
        <f>COUNTIFS(Tasks!$D$5:$D$300,A20,Tasks!$M$5:$M$300,"قيد التنفيذ")+COUNTIFS(Tasks!$D$5:$D$300,A20,Tasks!$M$5:$M$300,"قيد المراجعة")</f>
        <v/>
      </c>
      <c r="N20" s="43">
        <f>COUNTIF(UAT!$B$5:$B$300,A20)</f>
        <v/>
      </c>
      <c r="O20" s="43">
        <f>COUNTIFS(UAT!$B$5:$B$300,A20,UAT!$H$5:$H$300,"نجح")</f>
        <v/>
      </c>
      <c r="P20" s="43">
        <f>COUNTIFS(UAT!$B$5:$B$300,A20,UAT!$H$5:$H$300,"فشل")</f>
        <v/>
      </c>
      <c r="Q20" s="43">
        <f>IF(G20="جاهز","جاهز (أصلي)",IF(K20=0,"—",IF(AND(L20=K20,N20&gt;0,O20=N20),"جاهز",IF(L20=K20,"مكتمل – بانتظار UAT",IF(L20+M20&gt;0,"قيد التنفيذ","لم يبدأ")))))</f>
        <v/>
      </c>
      <c r="R20" s="30" t="n"/>
    </row>
    <row r="21" ht="42" customHeight="1" s="26">
      <c r="A21" s="41" t="inlineStr">
        <is>
          <t>FR-S02</t>
        </is>
      </c>
      <c r="B21" s="31" t="inlineStr">
        <is>
          <t>View Booking Requests</t>
        </is>
      </c>
      <c r="C21" s="31" t="inlineStr">
        <is>
          <t>عرض طلبات الحجز</t>
        </is>
      </c>
      <c r="D21" s="31" t="inlineStr">
        <is>
          <t>Student Dashboard, Learning &amp; Booking</t>
        </is>
      </c>
      <c r="E21" s="31" t="inlineStr">
        <is>
          <t>طالب</t>
        </is>
      </c>
      <c r="F21" s="31" t="inlineStr">
        <is>
          <t>Must</t>
        </is>
      </c>
      <c r="G21" s="31" t="inlineStr">
        <is>
          <t>جاهز</t>
        </is>
      </c>
      <c r="H21" s="31" t="inlineStr">
        <is>
          <t>/my-courses يعرض الطلبات بانتظار الموافقة</t>
        </is>
      </c>
      <c r="I21" s="31" t="inlineStr">
        <is>
          <t>نعم</t>
        </is>
      </c>
      <c r="J21" s="31" t="inlineStr">
        <is>
          <t>—</t>
        </is>
      </c>
      <c r="K21" s="43">
        <f>COUNTIF(Tasks!$D$5:$D$300,A21)</f>
        <v/>
      </c>
      <c r="L21" s="43">
        <f>COUNTIFS(Tasks!$D$5:$D$300,A21,Tasks!$M$5:$M$300,"مكتمل")</f>
        <v/>
      </c>
      <c r="M21" s="43">
        <f>COUNTIFS(Tasks!$D$5:$D$300,A21,Tasks!$M$5:$M$300,"قيد التنفيذ")+COUNTIFS(Tasks!$D$5:$D$300,A21,Tasks!$M$5:$M$300,"قيد المراجعة")</f>
        <v/>
      </c>
      <c r="N21" s="43">
        <f>COUNTIF(UAT!$B$5:$B$300,A21)</f>
        <v/>
      </c>
      <c r="O21" s="43">
        <f>COUNTIFS(UAT!$B$5:$B$300,A21,UAT!$H$5:$H$300,"نجح")</f>
        <v/>
      </c>
      <c r="P21" s="43">
        <f>COUNTIFS(UAT!$B$5:$B$300,A21,UAT!$H$5:$H$300,"فشل")</f>
        <v/>
      </c>
      <c r="Q21" s="43">
        <f>IF(G21="جاهز","جاهز (أصلي)",IF(K21=0,"—",IF(AND(L21=K21,N21&gt;0,O21=N21),"جاهز",IF(L21=K21,"مكتمل – بانتظار UAT",IF(L21+M21&gt;0,"قيد التنفيذ","لم يبدأ")))))</f>
        <v/>
      </c>
      <c r="R21" s="30" t="n"/>
    </row>
    <row r="22" ht="42" customHeight="1" s="26">
      <c r="A22" s="41" t="inlineStr">
        <is>
          <t>FR-S03</t>
        </is>
      </c>
      <c r="B22" s="31" t="inlineStr">
        <is>
          <t>View Booking Status</t>
        </is>
      </c>
      <c r="C22" s="31" t="inlineStr">
        <is>
          <t>عرض حالة الحجز</t>
        </is>
      </c>
      <c r="D22" s="31" t="inlineStr">
        <is>
          <t>Student Dashboard, Learning &amp; Booking</t>
        </is>
      </c>
      <c r="E22" s="31" t="inlineStr">
        <is>
          <t>طالب</t>
        </is>
      </c>
      <c r="F22" s="31" t="inlineStr">
        <is>
          <t>Must</t>
        </is>
      </c>
      <c r="G22" s="31" t="inlineStr">
        <is>
          <t>جاهز</t>
        </is>
      </c>
      <c r="H22" s="31" t="inlineStr">
        <is>
          <t>حالة الطلب تظهر في /my-courses</t>
        </is>
      </c>
      <c r="I22" s="31" t="inlineStr">
        <is>
          <t>نعم</t>
        </is>
      </c>
      <c r="J22" s="31" t="inlineStr">
        <is>
          <t>—</t>
        </is>
      </c>
      <c r="K22" s="43">
        <f>COUNTIF(Tasks!$D$5:$D$300,A22)</f>
        <v/>
      </c>
      <c r="L22" s="43">
        <f>COUNTIFS(Tasks!$D$5:$D$300,A22,Tasks!$M$5:$M$300,"مكتمل")</f>
        <v/>
      </c>
      <c r="M22" s="43">
        <f>COUNTIFS(Tasks!$D$5:$D$300,A22,Tasks!$M$5:$M$300,"قيد التنفيذ")+COUNTIFS(Tasks!$D$5:$D$300,A22,Tasks!$M$5:$M$300,"قيد المراجعة")</f>
        <v/>
      </c>
      <c r="N22" s="43">
        <f>COUNTIF(UAT!$B$5:$B$300,A22)</f>
        <v/>
      </c>
      <c r="O22" s="43">
        <f>COUNTIFS(UAT!$B$5:$B$300,A22,UAT!$H$5:$H$300,"نجح")</f>
        <v/>
      </c>
      <c r="P22" s="43">
        <f>COUNTIFS(UAT!$B$5:$B$300,A22,UAT!$H$5:$H$300,"فشل")</f>
        <v/>
      </c>
      <c r="Q22" s="43">
        <f>IF(G22="جاهز","جاهز (أصلي)",IF(K22=0,"—",IF(AND(L22=K22,N22&gt;0,O22=N22),"جاهز",IF(L22=K22,"مكتمل – بانتظار UAT",IF(L22+M22&gt;0,"قيد التنفيذ","لم يبدأ")))))</f>
        <v/>
      </c>
      <c r="R22" s="30" t="n"/>
    </row>
    <row r="23" ht="42" customHeight="1" s="26">
      <c r="A23" s="41" t="inlineStr">
        <is>
          <t>FR-S04</t>
        </is>
      </c>
      <c r="B23" s="31" t="inlineStr">
        <is>
          <t>View Confirmed Bookings</t>
        </is>
      </c>
      <c r="C23" s="31" t="inlineStr">
        <is>
          <t>عرض الحجوزات المؤكدة</t>
        </is>
      </c>
      <c r="D23" s="31" t="inlineStr">
        <is>
          <t>Student Dashboard, Learning &amp; Booking</t>
        </is>
      </c>
      <c r="E23" s="31" t="inlineStr">
        <is>
          <t>طالب</t>
        </is>
      </c>
      <c r="F23" s="31" t="inlineStr">
        <is>
          <t>Must</t>
        </is>
      </c>
      <c r="G23" s="31" t="inlineStr">
        <is>
          <t>جاهز</t>
        </is>
      </c>
      <c r="H23" s="31" t="inlineStr">
        <is>
          <t>الحجوزات المؤكدة تظهر في /my-courses</t>
        </is>
      </c>
      <c r="I23" s="31" t="inlineStr">
        <is>
          <t>نعم</t>
        </is>
      </c>
      <c r="J23" s="31" t="inlineStr">
        <is>
          <t>—</t>
        </is>
      </c>
      <c r="K23" s="43">
        <f>COUNTIF(Tasks!$D$5:$D$300,A23)</f>
        <v/>
      </c>
      <c r="L23" s="43">
        <f>COUNTIFS(Tasks!$D$5:$D$300,A23,Tasks!$M$5:$M$300,"مكتمل")</f>
        <v/>
      </c>
      <c r="M23" s="43">
        <f>COUNTIFS(Tasks!$D$5:$D$300,A23,Tasks!$M$5:$M$300,"قيد التنفيذ")+COUNTIFS(Tasks!$D$5:$D$300,A23,Tasks!$M$5:$M$300,"قيد المراجعة")</f>
        <v/>
      </c>
      <c r="N23" s="43">
        <f>COUNTIF(UAT!$B$5:$B$300,A23)</f>
        <v/>
      </c>
      <c r="O23" s="43">
        <f>COUNTIFS(UAT!$B$5:$B$300,A23,UAT!$H$5:$H$300,"نجح")</f>
        <v/>
      </c>
      <c r="P23" s="43">
        <f>COUNTIFS(UAT!$B$5:$B$300,A23,UAT!$H$5:$H$300,"فشل")</f>
        <v/>
      </c>
      <c r="Q23" s="43">
        <f>IF(G23="جاهز","جاهز (أصلي)",IF(K23=0,"—",IF(AND(L23=K23,N23&gt;0,O23=N23),"جاهز",IF(L23=K23,"مكتمل – بانتظار UAT",IF(L23+M23&gt;0,"قيد التنفيذ","لم يبدأ")))))</f>
        <v/>
      </c>
      <c r="R23" s="30" t="n"/>
    </row>
    <row r="24" ht="42" customHeight="1" s="26">
      <c r="A24" s="41" t="inlineStr">
        <is>
          <t>FR-S05</t>
        </is>
      </c>
      <c r="B24" s="31" t="inlineStr">
        <is>
          <t>View Student Schedule</t>
        </is>
      </c>
      <c r="C24" s="31" t="inlineStr">
        <is>
          <t>جدول الطالب</t>
        </is>
      </c>
      <c r="D24" s="31" t="inlineStr">
        <is>
          <t>Student Dashboard, Learning &amp; Booking</t>
        </is>
      </c>
      <c r="E24" s="31" t="inlineStr">
        <is>
          <t>طالب</t>
        </is>
      </c>
      <c r="F24" s="31" t="inlineStr">
        <is>
          <t>Must</t>
        </is>
      </c>
      <c r="G24" s="31" t="inlineStr">
        <is>
          <t>جاهز</t>
        </is>
      </c>
      <c r="H24" s="31" t="inlineStr">
        <is>
          <t>/schedule يعرض جدول الطالب</t>
        </is>
      </c>
      <c r="I24" s="31" t="inlineStr">
        <is>
          <t>نعم</t>
        </is>
      </c>
      <c r="J24" s="31" t="inlineStr">
        <is>
          <t>—</t>
        </is>
      </c>
      <c r="K24" s="43">
        <f>COUNTIF(Tasks!$D$5:$D$300,A24)</f>
        <v/>
      </c>
      <c r="L24" s="43">
        <f>COUNTIFS(Tasks!$D$5:$D$300,A24,Tasks!$M$5:$M$300,"مكتمل")</f>
        <v/>
      </c>
      <c r="M24" s="43">
        <f>COUNTIFS(Tasks!$D$5:$D$300,A24,Tasks!$M$5:$M$300,"قيد التنفيذ")+COUNTIFS(Tasks!$D$5:$D$300,A24,Tasks!$M$5:$M$300,"قيد المراجعة")</f>
        <v/>
      </c>
      <c r="N24" s="43">
        <f>COUNTIF(UAT!$B$5:$B$300,A24)</f>
        <v/>
      </c>
      <c r="O24" s="43">
        <f>COUNTIFS(UAT!$B$5:$B$300,A24,UAT!$H$5:$H$300,"نجح")</f>
        <v/>
      </c>
      <c r="P24" s="43">
        <f>COUNTIFS(UAT!$B$5:$B$300,A24,UAT!$H$5:$H$300,"فشل")</f>
        <v/>
      </c>
      <c r="Q24" s="43">
        <f>IF(G24="جاهز","جاهز (أصلي)",IF(K24=0,"—",IF(AND(L24=K24,N24&gt;0,O24=N24),"جاهز",IF(L24=K24,"مكتمل – بانتظار UAT",IF(L24+M24&gt;0,"قيد التنفيذ","لم يبدأ")))))</f>
        <v/>
      </c>
      <c r="R24" s="30" t="n"/>
    </row>
    <row r="25" ht="42" customHeight="1" s="26">
      <c r="A25" s="41" t="inlineStr">
        <is>
          <t>FR-S06</t>
        </is>
      </c>
      <c r="B25" s="31" t="inlineStr">
        <is>
          <t>View In-Person Lesson Information</t>
        </is>
      </c>
      <c r="C25" s="31" t="inlineStr">
        <is>
          <t>تفاصيل درس حضوري</t>
        </is>
      </c>
      <c r="D25" s="31" t="inlineStr">
        <is>
          <t>Student Dashboard, Learning &amp; Booking</t>
        </is>
      </c>
      <c r="E25" s="31" t="inlineStr">
        <is>
          <t>طالب</t>
        </is>
      </c>
      <c r="F25" s="31" t="inlineStr">
        <is>
          <t>Must</t>
        </is>
      </c>
      <c r="G25" s="31" t="inlineStr">
        <is>
          <t>جزئي</t>
        </is>
      </c>
      <c r="H25" s="31" t="inlineStr">
        <is>
          <t>الجدول يعرض بيانات عامة لكن ينقصه تفاصيل القاعة</t>
        </is>
      </c>
      <c r="I25" s="31" t="inlineStr">
        <is>
          <t>نعم</t>
        </is>
      </c>
      <c r="J25" s="31" t="inlineStr">
        <is>
          <t>WP-S5</t>
        </is>
      </c>
      <c r="K25" s="43">
        <f>COUNTIF(Tasks!$D$5:$D$300,A25)</f>
        <v/>
      </c>
      <c r="L25" s="43">
        <f>COUNTIFS(Tasks!$D$5:$D$300,A25,Tasks!$M$5:$M$300,"مكتمل")</f>
        <v/>
      </c>
      <c r="M25" s="43">
        <f>COUNTIFS(Tasks!$D$5:$D$300,A25,Tasks!$M$5:$M$300,"قيد التنفيذ")+COUNTIFS(Tasks!$D$5:$D$300,A25,Tasks!$M$5:$M$300,"قيد المراجعة")</f>
        <v/>
      </c>
      <c r="N25" s="43">
        <f>COUNTIF(UAT!$B$5:$B$300,A25)</f>
        <v/>
      </c>
      <c r="O25" s="43">
        <f>COUNTIFS(UAT!$B$5:$B$300,A25,UAT!$H$5:$H$300,"نجح")</f>
        <v/>
      </c>
      <c r="P25" s="43">
        <f>COUNTIFS(UAT!$B$5:$B$300,A25,UAT!$H$5:$H$300,"فشل")</f>
        <v/>
      </c>
      <c r="Q25" s="43">
        <f>IF(G25="جاهز","جاهز (أصلي)",IF(K25=0,"—",IF(AND(L25=K25,N25&gt;0,O25=N25),"جاهز",IF(L25=K25,"مكتمل – بانتظار UAT",IF(L25+M25&gt;0,"قيد التنفيذ","لم يبدأ")))))</f>
        <v/>
      </c>
      <c r="R25" s="30" t="n"/>
    </row>
    <row r="26" ht="42" customHeight="1" s="26">
      <c r="A26" s="41" t="inlineStr">
        <is>
          <t>FR-S07</t>
        </is>
      </c>
      <c r="B26" s="31" t="inlineStr">
        <is>
          <t>View Online Lesson Information</t>
        </is>
      </c>
      <c r="C26" s="31" t="inlineStr">
        <is>
          <t>تفاصيل درس أونلاين</t>
        </is>
      </c>
      <c r="D26" s="31" t="inlineStr">
        <is>
          <t>Student Dashboard, Learning &amp; Booking</t>
        </is>
      </c>
      <c r="E26" s="31" t="inlineStr">
        <is>
          <t>طالب</t>
        </is>
      </c>
      <c r="F26" s="31" t="inlineStr">
        <is>
          <t>Must</t>
        </is>
      </c>
      <c r="G26" s="31" t="inlineStr">
        <is>
          <t>جزئي</t>
        </is>
      </c>
      <c r="H26" s="31" t="inlineStr">
        <is>
          <t>الـ API يحتوي Platform/URL لكن لا تُعرض بالجدول الحالي</t>
        </is>
      </c>
      <c r="I26" s="31" t="inlineStr">
        <is>
          <t>نعم</t>
        </is>
      </c>
      <c r="J26" s="31" t="inlineStr">
        <is>
          <t>WP-S5</t>
        </is>
      </c>
      <c r="K26" s="43">
        <f>COUNTIF(Tasks!$D$5:$D$300,A26)</f>
        <v/>
      </c>
      <c r="L26" s="43">
        <f>COUNTIFS(Tasks!$D$5:$D$300,A26,Tasks!$M$5:$M$300,"مكتمل")</f>
        <v/>
      </c>
      <c r="M26" s="43">
        <f>COUNTIFS(Tasks!$D$5:$D$300,A26,Tasks!$M$5:$M$300,"قيد التنفيذ")+COUNTIFS(Tasks!$D$5:$D$300,A26,Tasks!$M$5:$M$300,"قيد المراجعة")</f>
        <v/>
      </c>
      <c r="N26" s="43">
        <f>COUNTIF(UAT!$B$5:$B$300,A26)</f>
        <v/>
      </c>
      <c r="O26" s="43">
        <f>COUNTIFS(UAT!$B$5:$B$300,A26,UAT!$H$5:$H$300,"نجح")</f>
        <v/>
      </c>
      <c r="P26" s="43">
        <f>COUNTIFS(UAT!$B$5:$B$300,A26,UAT!$H$5:$H$300,"فشل")</f>
        <v/>
      </c>
      <c r="Q26" s="43">
        <f>IF(G26="جاهز","جاهز (أصلي)",IF(K26=0,"—",IF(AND(L26=K26,N26&gt;0,O26=N26),"جاهز",IF(L26=K26,"مكتمل – بانتظار UAT",IF(L26+M26&gt;0,"قيد التنفيذ","لم يبدأ")))))</f>
        <v/>
      </c>
      <c r="R26" s="30" t="n"/>
    </row>
    <row r="27" ht="42" customHeight="1" s="26">
      <c r="A27" s="41" t="inlineStr">
        <is>
          <t>FR-S08</t>
        </is>
      </c>
      <c r="B27" s="31" t="inlineStr">
        <is>
          <t>View Course and Lesson Details</t>
        </is>
      </c>
      <c r="C27" s="31" t="inlineStr">
        <is>
          <t>تفاصيل الكورس والدروس</t>
        </is>
      </c>
      <c r="D27" s="31" t="inlineStr">
        <is>
          <t>Student Dashboard, Learning &amp; Booking</t>
        </is>
      </c>
      <c r="E27" s="31" t="inlineStr">
        <is>
          <t>طالب</t>
        </is>
      </c>
      <c r="F27" s="31" t="inlineStr">
        <is>
          <t>Must</t>
        </is>
      </c>
      <c r="G27" s="31" t="inlineStr">
        <is>
          <t>جزئي</t>
        </is>
      </c>
      <c r="H27" s="31" t="inlineStr">
        <is>
          <t>لا توجد شاشة تفاصيل درس/كورس متكاملة</t>
        </is>
      </c>
      <c r="I27" s="31" t="inlineStr">
        <is>
          <t>نعم</t>
        </is>
      </c>
      <c r="J27" s="31" t="inlineStr">
        <is>
          <t>WP-S6</t>
        </is>
      </c>
      <c r="K27" s="43">
        <f>COUNTIF(Tasks!$D$5:$D$300,A27)</f>
        <v/>
      </c>
      <c r="L27" s="43">
        <f>COUNTIFS(Tasks!$D$5:$D$300,A27,Tasks!$M$5:$M$300,"مكتمل")</f>
        <v/>
      </c>
      <c r="M27" s="43">
        <f>COUNTIFS(Tasks!$D$5:$D$300,A27,Tasks!$M$5:$M$300,"قيد التنفيذ")+COUNTIFS(Tasks!$D$5:$D$300,A27,Tasks!$M$5:$M$300,"قيد المراجعة")</f>
        <v/>
      </c>
      <c r="N27" s="43">
        <f>COUNTIF(UAT!$B$5:$B$300,A27)</f>
        <v/>
      </c>
      <c r="O27" s="43">
        <f>COUNTIFS(UAT!$B$5:$B$300,A27,UAT!$H$5:$H$300,"نجح")</f>
        <v/>
      </c>
      <c r="P27" s="43">
        <f>COUNTIFS(UAT!$B$5:$B$300,A27,UAT!$H$5:$H$300,"فشل")</f>
        <v/>
      </c>
      <c r="Q27" s="43">
        <f>IF(G27="جاهز","جاهز (أصلي)",IF(K27=0,"—",IF(AND(L27=K27,N27&gt;0,O27=N27),"جاهز",IF(L27=K27,"مكتمل – بانتظار UAT",IF(L27+M27&gt;0,"قيد التنفيذ","لم يبدأ")))))</f>
        <v/>
      </c>
      <c r="R27" s="30" t="n"/>
    </row>
    <row r="28" ht="42" customHeight="1" s="26">
      <c r="A28" s="41" t="inlineStr">
        <is>
          <t>FR-S09</t>
        </is>
      </c>
      <c r="B28" s="31" t="inlineStr">
        <is>
          <t>View Student Attendance</t>
        </is>
      </c>
      <c r="C28" s="31" t="inlineStr">
        <is>
          <t>سجل حضور الطالب</t>
        </is>
      </c>
      <c r="D28" s="31" t="inlineStr">
        <is>
          <t>Student Dashboard, Learning &amp; Booking</t>
        </is>
      </c>
      <c r="E28" s="31" t="inlineStr">
        <is>
          <t>طالب</t>
        </is>
      </c>
      <c r="F28" s="31" t="inlineStr">
        <is>
          <t>Must</t>
        </is>
      </c>
      <c r="G28" s="31" t="inlineStr">
        <is>
          <t>غير جاهز</t>
        </is>
      </c>
      <c r="H28" s="31" t="inlineStr">
        <is>
          <t>لا توجد واجهة طالب لعرض سجل الحضور</t>
        </is>
      </c>
      <c r="I28" s="31" t="inlineStr">
        <is>
          <t>نعم</t>
        </is>
      </c>
      <c r="J28" s="31" t="inlineStr">
        <is>
          <t>WP-S7</t>
        </is>
      </c>
      <c r="K28" s="43">
        <f>COUNTIF(Tasks!$D$5:$D$300,A28)</f>
        <v/>
      </c>
      <c r="L28" s="43">
        <f>COUNTIFS(Tasks!$D$5:$D$300,A28,Tasks!$M$5:$M$300,"مكتمل")</f>
        <v/>
      </c>
      <c r="M28" s="43">
        <f>COUNTIFS(Tasks!$D$5:$D$300,A28,Tasks!$M$5:$M$300,"قيد التنفيذ")+COUNTIFS(Tasks!$D$5:$D$300,A28,Tasks!$M$5:$M$300,"قيد المراجعة")</f>
        <v/>
      </c>
      <c r="N28" s="43">
        <f>COUNTIF(UAT!$B$5:$B$300,A28)</f>
        <v/>
      </c>
      <c r="O28" s="43">
        <f>COUNTIFS(UAT!$B$5:$B$300,A28,UAT!$H$5:$H$300,"نجح")</f>
        <v/>
      </c>
      <c r="P28" s="43">
        <f>COUNTIFS(UAT!$B$5:$B$300,A28,UAT!$H$5:$H$300,"فشل")</f>
        <v/>
      </c>
      <c r="Q28" s="43">
        <f>IF(G28="جاهز","جاهز (أصلي)",IF(K28=0,"—",IF(AND(L28=K28,N28&gt;0,O28=N28),"جاهز",IF(L28=K28,"مكتمل – بانتظار UAT",IF(L28+M28&gt;0,"قيد التنفيذ","لم يبدأ")))))</f>
        <v/>
      </c>
      <c r="R28" s="30" t="n"/>
    </row>
    <row r="29" ht="42" customHeight="1" s="26">
      <c r="A29" s="41" t="inlineStr">
        <is>
          <t>FR-S10</t>
        </is>
      </c>
      <c r="B29" s="31" t="inlineStr">
        <is>
          <t>View Examination Results</t>
        </is>
      </c>
      <c r="C29" s="31" t="inlineStr">
        <is>
          <t>نتائج الامتحانات (طالب)</t>
        </is>
      </c>
      <c r="D29" s="31" t="inlineStr">
        <is>
          <t>Student Dashboard, Learning &amp; Booking</t>
        </is>
      </c>
      <c r="E29" s="31" t="inlineStr">
        <is>
          <t>طالب</t>
        </is>
      </c>
      <c r="F29" s="31" t="inlineStr">
        <is>
          <t>Must</t>
        </is>
      </c>
      <c r="G29" s="31" t="inlineStr">
        <is>
          <t>غير جاهز</t>
        </is>
      </c>
      <c r="H29" s="31" t="inlineStr">
        <is>
          <t>لا توجد واجهة طالب لعرض نتائج الامتحانات</t>
        </is>
      </c>
      <c r="I29" s="31" t="inlineStr">
        <is>
          <t>نعم</t>
        </is>
      </c>
      <c r="J29" s="31" t="inlineStr">
        <is>
          <t>WP-S8</t>
        </is>
      </c>
      <c r="K29" s="43">
        <f>COUNTIF(Tasks!$D$5:$D$300,A29)</f>
        <v/>
      </c>
      <c r="L29" s="43">
        <f>COUNTIFS(Tasks!$D$5:$D$300,A29,Tasks!$M$5:$M$300,"مكتمل")</f>
        <v/>
      </c>
      <c r="M29" s="43">
        <f>COUNTIFS(Tasks!$D$5:$D$300,A29,Tasks!$M$5:$M$300,"قيد التنفيذ")+COUNTIFS(Tasks!$D$5:$D$300,A29,Tasks!$M$5:$M$300,"قيد المراجعة")</f>
        <v/>
      </c>
      <c r="N29" s="43">
        <f>COUNTIF(UAT!$B$5:$B$300,A29)</f>
        <v/>
      </c>
      <c r="O29" s="43">
        <f>COUNTIFS(UAT!$B$5:$B$300,A29,UAT!$H$5:$H$300,"نجح")</f>
        <v/>
      </c>
      <c r="P29" s="43">
        <f>COUNTIFS(UAT!$B$5:$B$300,A29,UAT!$H$5:$H$300,"فشل")</f>
        <v/>
      </c>
      <c r="Q29" s="43">
        <f>IF(G29="جاهز","جاهز (أصلي)",IF(K29=0,"—",IF(AND(L29=K29,N29&gt;0,O29=N29),"جاهز",IF(L29=K29,"مكتمل – بانتظار UAT",IF(L29+M29&gt;0,"قيد التنفيذ","لم يبدأ")))))</f>
        <v/>
      </c>
      <c r="R29" s="30" t="n"/>
    </row>
    <row r="30" ht="42" customHeight="1" s="26">
      <c r="A30" s="41" t="inlineStr">
        <is>
          <t>FR-S11</t>
        </is>
      </c>
      <c r="B30" s="31" t="inlineStr">
        <is>
          <t>View Academic Progress</t>
        </is>
      </c>
      <c r="C30" s="31" t="inlineStr">
        <is>
          <t>التقدم الأكاديمي</t>
        </is>
      </c>
      <c r="D30" s="31" t="inlineStr">
        <is>
          <t>Student Dashboard, Learning &amp; Booking</t>
        </is>
      </c>
      <c r="E30" s="31" t="inlineStr">
        <is>
          <t>طالب</t>
        </is>
      </c>
      <c r="F30" s="31" t="inlineStr">
        <is>
          <t>Must</t>
        </is>
      </c>
      <c r="G30" s="31" t="inlineStr">
        <is>
          <t>غير جاهز</t>
        </is>
      </c>
      <c r="H30" s="31" t="inlineStr">
        <is>
          <t>لا توجد واجهة تعرض تفاصيل التقدم الأكاديمي</t>
        </is>
      </c>
      <c r="I30" s="31" t="inlineStr">
        <is>
          <t>نعم</t>
        </is>
      </c>
      <c r="J30" s="31" t="inlineStr">
        <is>
          <t>WP-S9</t>
        </is>
      </c>
      <c r="K30" s="43">
        <f>COUNTIF(Tasks!$D$5:$D$300,A30)</f>
        <v/>
      </c>
      <c r="L30" s="43">
        <f>COUNTIFS(Tasks!$D$5:$D$300,A30,Tasks!$M$5:$M$300,"مكتمل")</f>
        <v/>
      </c>
      <c r="M30" s="43">
        <f>COUNTIFS(Tasks!$D$5:$D$300,A30,Tasks!$M$5:$M$300,"قيد التنفيذ")+COUNTIFS(Tasks!$D$5:$D$300,A30,Tasks!$M$5:$M$300,"قيد المراجعة")</f>
        <v/>
      </c>
      <c r="N30" s="43">
        <f>COUNTIF(UAT!$B$5:$B$300,A30)</f>
        <v/>
      </c>
      <c r="O30" s="43">
        <f>COUNTIFS(UAT!$B$5:$B$300,A30,UAT!$H$5:$H$300,"نجح")</f>
        <v/>
      </c>
      <c r="P30" s="43">
        <f>COUNTIFS(UAT!$B$5:$B$300,A30,UAT!$H$5:$H$300,"فشل")</f>
        <v/>
      </c>
      <c r="Q30" s="43">
        <f>IF(G30="جاهز","جاهز (أصلي)",IF(K30=0,"—",IF(AND(L30=K30,N30&gt;0,O30=N30),"جاهز",IF(L30=K30,"مكتمل – بانتظار UAT",IF(L30+M30&gt;0,"قيد التنفيذ","لم يبدأ")))))</f>
        <v/>
      </c>
      <c r="R30" s="30" t="n"/>
    </row>
    <row r="31" ht="42" customHeight="1" s="26">
      <c r="A31" s="41" t="inlineStr">
        <is>
          <t>FR-S12</t>
        </is>
      </c>
      <c r="B31" s="31" t="inlineStr">
        <is>
          <t>View Student Notifications</t>
        </is>
      </c>
      <c r="C31" s="31" t="inlineStr">
        <is>
          <t>إشعارات الطالب</t>
        </is>
      </c>
      <c r="D31" s="31" t="inlineStr">
        <is>
          <t>Student Dashboard, Learning &amp; Booking</t>
        </is>
      </c>
      <c r="E31" s="31" t="inlineStr">
        <is>
          <t>طالب</t>
        </is>
      </c>
      <c r="F31" s="31" t="inlineStr">
        <is>
          <t>Must</t>
        </is>
      </c>
      <c r="G31" s="31" t="inlineStr">
        <is>
          <t>جاهز</t>
        </is>
      </c>
      <c r="H31" s="31" t="inlineStr">
        <is>
          <t>/notifications يعرض التنبيهات مع إمكانية القراءة</t>
        </is>
      </c>
      <c r="I31" s="31" t="inlineStr">
        <is>
          <t>نعم</t>
        </is>
      </c>
      <c r="J31" s="31" t="inlineStr">
        <is>
          <t>—</t>
        </is>
      </c>
      <c r="K31" s="43">
        <f>COUNTIF(Tasks!$D$5:$D$300,A31)</f>
        <v/>
      </c>
      <c r="L31" s="43">
        <f>COUNTIFS(Tasks!$D$5:$D$300,A31,Tasks!$M$5:$M$300,"مكتمل")</f>
        <v/>
      </c>
      <c r="M31" s="43">
        <f>COUNTIFS(Tasks!$D$5:$D$300,A31,Tasks!$M$5:$M$300,"قيد التنفيذ")+COUNTIFS(Tasks!$D$5:$D$300,A31,Tasks!$M$5:$M$300,"قيد المراجعة")</f>
        <v/>
      </c>
      <c r="N31" s="43">
        <f>COUNTIF(UAT!$B$5:$B$300,A31)</f>
        <v/>
      </c>
      <c r="O31" s="43">
        <f>COUNTIFS(UAT!$B$5:$B$300,A31,UAT!$H$5:$H$300,"نجح")</f>
        <v/>
      </c>
      <c r="P31" s="43">
        <f>COUNTIFS(UAT!$B$5:$B$300,A31,UAT!$H$5:$H$300,"فشل")</f>
        <v/>
      </c>
      <c r="Q31" s="43">
        <f>IF(G31="جاهز","جاهز (أصلي)",IF(K31=0,"—",IF(AND(L31=K31,N31&gt;0,O31=N31),"جاهز",IF(L31=K31,"مكتمل – بانتظار UAT",IF(L31+M31&gt;0,"قيد التنفيذ","لم يبدأ")))))</f>
        <v/>
      </c>
      <c r="R31" s="30" t="n"/>
    </row>
    <row r="32" ht="42" customHeight="1" s="26">
      <c r="A32" s="41" t="inlineStr">
        <is>
          <t>FR-S13</t>
        </is>
      </c>
      <c r="B32" s="31" t="inlineStr">
        <is>
          <t>View Student Wallet Information</t>
        </is>
      </c>
      <c r="C32" s="31" t="inlineStr">
        <is>
          <t>معلومات محفظة الطالب</t>
        </is>
      </c>
      <c r="D32" s="31" t="inlineStr">
        <is>
          <t>Student Dashboard, Learning &amp; Booking</t>
        </is>
      </c>
      <c r="E32" s="31" t="inlineStr">
        <is>
          <t>طالب</t>
        </is>
      </c>
      <c r="F32" s="31" t="inlineStr">
        <is>
          <t>Must</t>
        </is>
      </c>
      <c r="G32" s="31" t="inlineStr">
        <is>
          <t>جاهز</t>
        </is>
      </c>
      <c r="H32" s="31" t="inlineStr">
        <is>
          <t>/wallet يعرض الرصيد وسجل العمليات</t>
        </is>
      </c>
      <c r="I32" s="31" t="inlineStr">
        <is>
          <t>نعم</t>
        </is>
      </c>
      <c r="J32" s="31" t="inlineStr">
        <is>
          <t>—</t>
        </is>
      </c>
      <c r="K32" s="43">
        <f>COUNTIF(Tasks!$D$5:$D$300,A32)</f>
        <v/>
      </c>
      <c r="L32" s="43">
        <f>COUNTIFS(Tasks!$D$5:$D$300,A32,Tasks!$M$5:$M$300,"مكتمل")</f>
        <v/>
      </c>
      <c r="M32" s="43">
        <f>COUNTIFS(Tasks!$D$5:$D$300,A32,Tasks!$M$5:$M$300,"قيد التنفيذ")+COUNTIFS(Tasks!$D$5:$D$300,A32,Tasks!$M$5:$M$300,"قيد المراجعة")</f>
        <v/>
      </c>
      <c r="N32" s="43">
        <f>COUNTIF(UAT!$B$5:$B$300,A32)</f>
        <v/>
      </c>
      <c r="O32" s="43">
        <f>COUNTIFS(UAT!$B$5:$B$300,A32,UAT!$H$5:$H$300,"نجح")</f>
        <v/>
      </c>
      <c r="P32" s="43">
        <f>COUNTIFS(UAT!$B$5:$B$300,A32,UAT!$H$5:$H$300,"فشل")</f>
        <v/>
      </c>
      <c r="Q32" s="43">
        <f>IF(G32="جاهز","جاهز (أصلي)",IF(K32=0,"—",IF(AND(L32=K32,N32&gt;0,O32=N32),"جاهز",IF(L32=K32,"مكتمل – بانتظار UAT",IF(L32+M32&gt;0,"قيد التنفيذ","لم يبدأ")))))</f>
        <v/>
      </c>
      <c r="R32" s="30" t="n"/>
    </row>
    <row r="33" ht="42" customHeight="1" s="26">
      <c r="A33" s="41" t="inlineStr">
        <is>
          <t>FR-S14</t>
        </is>
      </c>
      <c r="B33" s="31" t="inlineStr">
        <is>
          <t>Cancel Student Booking</t>
        </is>
      </c>
      <c r="C33" s="31" t="inlineStr">
        <is>
          <t>إلغاء حجز الطالب</t>
        </is>
      </c>
      <c r="D33" s="31" t="inlineStr">
        <is>
          <t>Student Dashboard, Learning &amp; Booking</t>
        </is>
      </c>
      <c r="E33" s="31" t="inlineStr">
        <is>
          <t>طالب</t>
        </is>
      </c>
      <c r="F33" s="31" t="inlineStr">
        <is>
          <t>Should</t>
        </is>
      </c>
      <c r="G33" s="31" t="inlineStr">
        <is>
          <t>غير جاهز</t>
        </is>
      </c>
      <c r="H33" s="31" t="inlineStr">
        <is>
          <t>cancelBooking() موجود API فقط وبلا واجهة</t>
        </is>
      </c>
      <c r="I33" s="31" t="inlineStr">
        <is>
          <t>نعم</t>
        </is>
      </c>
      <c r="J33" s="31" t="inlineStr">
        <is>
          <t>WP-S2</t>
        </is>
      </c>
      <c r="K33" s="43">
        <f>COUNTIF(Tasks!$D$5:$D$300,A33)</f>
        <v/>
      </c>
      <c r="L33" s="43">
        <f>COUNTIFS(Tasks!$D$5:$D$300,A33,Tasks!$M$5:$M$300,"مكتمل")</f>
        <v/>
      </c>
      <c r="M33" s="43">
        <f>COUNTIFS(Tasks!$D$5:$D$300,A33,Tasks!$M$5:$M$300,"قيد التنفيذ")+COUNTIFS(Tasks!$D$5:$D$300,A33,Tasks!$M$5:$M$300,"قيد المراجعة")</f>
        <v/>
      </c>
      <c r="N33" s="43">
        <f>COUNTIF(UAT!$B$5:$B$300,A33)</f>
        <v/>
      </c>
      <c r="O33" s="43">
        <f>COUNTIFS(UAT!$B$5:$B$300,A33,UAT!$H$5:$H$300,"نجح")</f>
        <v/>
      </c>
      <c r="P33" s="43">
        <f>COUNTIFS(UAT!$B$5:$B$300,A33,UAT!$H$5:$H$300,"فشل")</f>
        <v/>
      </c>
      <c r="Q33" s="43">
        <f>IF(G33="جاهز","جاهز (أصلي)",IF(K33=0,"—",IF(AND(L33=K33,N33&gt;0,O33=N33),"جاهز",IF(L33=K33,"مكتمل – بانتظار UAT",IF(L33+M33&gt;0,"قيد التنفيذ","لم يبدأ")))))</f>
        <v/>
      </c>
      <c r="R33" s="30" t="n"/>
    </row>
    <row r="34" ht="42" customHeight="1" s="26">
      <c r="A34" s="41" t="inlineStr">
        <is>
          <t>FR-S15</t>
        </is>
      </c>
      <c r="B34" s="31" t="inlineStr">
        <is>
          <t>Request Booking Rescheduling</t>
        </is>
      </c>
      <c r="C34" s="31" t="inlineStr">
        <is>
          <t>طلب إعادة جدولة</t>
        </is>
      </c>
      <c r="D34" s="31" t="inlineStr">
        <is>
          <t>Student Dashboard, Learning &amp; Booking</t>
        </is>
      </c>
      <c r="E34" s="31" t="inlineStr">
        <is>
          <t>طالب</t>
        </is>
      </c>
      <c r="F34" s="31" t="inlineStr">
        <is>
          <t>Should</t>
        </is>
      </c>
      <c r="G34" s="31" t="inlineStr">
        <is>
          <t>غير جاهز</t>
        </is>
      </c>
      <c r="H34" s="31" t="inlineStr">
        <is>
          <t>لا توجد واجهة فعلية لطلب إعادة الجدولة</t>
        </is>
      </c>
      <c r="I34" s="31" t="inlineStr">
        <is>
          <t>نعم</t>
        </is>
      </c>
      <c r="J34" s="31" t="inlineStr">
        <is>
          <t>WP-S3, WP-T5</t>
        </is>
      </c>
      <c r="K34" s="43">
        <f>COUNTIF(Tasks!$D$5:$D$300,A34)</f>
        <v/>
      </c>
      <c r="L34" s="43">
        <f>COUNTIFS(Tasks!$D$5:$D$300,A34,Tasks!$M$5:$M$300,"مكتمل")</f>
        <v/>
      </c>
      <c r="M34" s="43">
        <f>COUNTIFS(Tasks!$D$5:$D$300,A34,Tasks!$M$5:$M$300,"قيد التنفيذ")+COUNTIFS(Tasks!$D$5:$D$300,A34,Tasks!$M$5:$M$300,"قيد المراجعة")</f>
        <v/>
      </c>
      <c r="N34" s="43">
        <f>COUNTIF(UAT!$B$5:$B$300,A34)</f>
        <v/>
      </c>
      <c r="O34" s="43">
        <f>COUNTIFS(UAT!$B$5:$B$300,A34,UAT!$H$5:$H$300,"نجح")</f>
        <v/>
      </c>
      <c r="P34" s="43">
        <f>COUNTIFS(UAT!$B$5:$B$300,A34,UAT!$H$5:$H$300,"فشل")</f>
        <v/>
      </c>
      <c r="Q34" s="43">
        <f>IF(G34="جاهز","جاهز (أصلي)",IF(K34=0,"—",IF(AND(L34=K34,N34&gt;0,O34=N34),"جاهز",IF(L34=K34,"مكتمل – بانتظار UAT",IF(L34+M34&gt;0,"قيد التنفيذ","لم يبدأ")))))</f>
        <v/>
      </c>
      <c r="R34" s="30" t="n"/>
    </row>
    <row r="35" ht="42" customHeight="1" s="26">
      <c r="A35" s="41" t="inlineStr">
        <is>
          <t>FR-I01</t>
        </is>
      </c>
      <c r="B35" s="31" t="inlineStr">
        <is>
          <t>Create In-Person Course</t>
        </is>
      </c>
      <c r="C35" s="31" t="inlineStr">
        <is>
          <t>إنشاء كورس حضوري</t>
        </is>
      </c>
      <c r="D35" s="31" t="inlineStr">
        <is>
          <t>Instructor Course &amp; Lesson Mgmt</t>
        </is>
      </c>
      <c r="E35" s="31" t="inlineStr">
        <is>
          <t>معلم</t>
        </is>
      </c>
      <c r="F35" s="31" t="inlineStr">
        <is>
          <t>Must</t>
        </is>
      </c>
      <c r="G35" s="31" t="inlineStr">
        <is>
          <t>غير مغطى بالتقرير</t>
        </is>
      </c>
      <c r="H35" s="31" t="inlineStr">
        <is>
          <t>خارج الـ30. ملاحظة من الكود: teacher.courses.tsx حاليًا placeholder «قيد التطوير». مطلوب كشرط مسبق لـ FR-I02..I08</t>
        </is>
      </c>
      <c r="I35" s="31" t="inlineStr">
        <is>
          <t>لا (داعم)</t>
        </is>
      </c>
      <c r="J35" s="31" t="inlineStr">
        <is>
          <t>WP-T1</t>
        </is>
      </c>
      <c r="K35" s="43">
        <f>COUNTIF(Tasks!$D$5:$D$300,A35)</f>
        <v/>
      </c>
      <c r="L35" s="43">
        <f>COUNTIFS(Tasks!$D$5:$D$300,A35,Tasks!$M$5:$M$300,"مكتمل")</f>
        <v/>
      </c>
      <c r="M35" s="43">
        <f>COUNTIFS(Tasks!$D$5:$D$300,A35,Tasks!$M$5:$M$300,"قيد التنفيذ")+COUNTIFS(Tasks!$D$5:$D$300,A35,Tasks!$M$5:$M$300,"قيد المراجعة")</f>
        <v/>
      </c>
      <c r="N35" s="43">
        <f>COUNTIF(UAT!$B$5:$B$300,A35)</f>
        <v/>
      </c>
      <c r="O35" s="43">
        <f>COUNTIFS(UAT!$B$5:$B$300,A35,UAT!$H$5:$H$300,"نجح")</f>
        <v/>
      </c>
      <c r="P35" s="43">
        <f>COUNTIFS(UAT!$B$5:$B$300,A35,UAT!$H$5:$H$300,"فشل")</f>
        <v/>
      </c>
      <c r="Q35" s="43">
        <f>IF(G35="جاهز","جاهز (أصلي)",IF(K35=0,"—",IF(AND(L35=K35,N35&gt;0,O35=N35),"جاهز",IF(L35=K35,"مكتمل – بانتظار UAT",IF(L35+M35&gt;0,"قيد التنفيذ","لم يبدأ")))))</f>
        <v/>
      </c>
      <c r="R35" s="30" t="n"/>
    </row>
    <row r="36" ht="42" customHeight="1" s="26">
      <c r="A36" s="41" t="inlineStr">
        <is>
          <t>FR-I05</t>
        </is>
      </c>
      <c r="B36" s="31" t="inlineStr">
        <is>
          <t>Create Online Course</t>
        </is>
      </c>
      <c r="C36" s="31" t="inlineStr">
        <is>
          <t>إنشاء كورس أونلاين</t>
        </is>
      </c>
      <c r="D36" s="31" t="inlineStr">
        <is>
          <t>Instructor Course &amp; Lesson Mgmt</t>
        </is>
      </c>
      <c r="E36" s="31" t="inlineStr">
        <is>
          <t>معلم</t>
        </is>
      </c>
      <c r="F36" s="31" t="inlineStr">
        <is>
          <t>Must</t>
        </is>
      </c>
      <c r="G36" s="31" t="inlineStr">
        <is>
          <t>غير مغطى بالتقرير</t>
        </is>
      </c>
      <c r="H36" s="31" t="inlineStr">
        <is>
          <t>خارج الـ30. شرط مسبق لـ FR-I06/I08</t>
        </is>
      </c>
      <c r="I36" s="31" t="inlineStr">
        <is>
          <t>لا (داعم)</t>
        </is>
      </c>
      <c r="J36" s="31" t="inlineStr">
        <is>
          <t>WP-T1</t>
        </is>
      </c>
      <c r="K36" s="43">
        <f>COUNTIF(Tasks!$D$5:$D$300,A36)</f>
        <v/>
      </c>
      <c r="L36" s="43">
        <f>COUNTIFS(Tasks!$D$5:$D$300,A36,Tasks!$M$5:$M$300,"مكتمل")</f>
        <v/>
      </c>
      <c r="M36" s="43">
        <f>COUNTIFS(Tasks!$D$5:$D$300,A36,Tasks!$M$5:$M$300,"قيد التنفيذ")+COUNTIFS(Tasks!$D$5:$D$300,A36,Tasks!$M$5:$M$300,"قيد المراجعة")</f>
        <v/>
      </c>
      <c r="N36" s="43">
        <f>COUNTIF(UAT!$B$5:$B$300,A36)</f>
        <v/>
      </c>
      <c r="O36" s="43">
        <f>COUNTIFS(UAT!$B$5:$B$300,A36,UAT!$H$5:$H$300,"نجح")</f>
        <v/>
      </c>
      <c r="P36" s="43">
        <f>COUNTIFS(UAT!$B$5:$B$300,A36,UAT!$H$5:$H$300,"فشل")</f>
        <v/>
      </c>
      <c r="Q36" s="43">
        <f>IF(G36="جاهز","جاهز (أصلي)",IF(K36=0,"—",IF(AND(L36=K36,N36&gt;0,O36=N36),"جاهز",IF(L36=K36,"مكتمل – بانتظار UAT",IF(L36+M36&gt;0,"قيد التنفيذ","لم يبدأ")))))</f>
        <v/>
      </c>
      <c r="R36" s="30" t="n"/>
    </row>
    <row r="37" ht="42" customHeight="1" s="26">
      <c r="A37" s="41" t="inlineStr">
        <is>
          <t>FR-I07</t>
        </is>
      </c>
      <c r="B37" s="31" t="inlineStr">
        <is>
          <t>Configure Online Meeting Platform</t>
        </is>
      </c>
      <c r="C37" s="31" t="inlineStr">
        <is>
          <t>ضبط منصة الاجتماع</t>
        </is>
      </c>
      <c r="D37" s="31" t="inlineStr">
        <is>
          <t>Instructor Course &amp; Lesson Mgmt</t>
        </is>
      </c>
      <c r="E37" s="31" t="inlineStr">
        <is>
          <t>معلم</t>
        </is>
      </c>
      <c r="F37" s="31" t="inlineStr">
        <is>
          <t>Must</t>
        </is>
      </c>
      <c r="G37" s="31" t="inlineStr">
        <is>
          <t>غير مغطى بالتقرير</t>
        </is>
      </c>
      <c r="H37" s="31" t="inlineStr">
        <is>
          <t>خارج الـ30. جزء من نموذج الدرس الأونلاين</t>
        </is>
      </c>
      <c r="I37" s="31" t="inlineStr">
        <is>
          <t>لا (داعم)</t>
        </is>
      </c>
      <c r="J37" s="31" t="inlineStr">
        <is>
          <t>WP-T4</t>
        </is>
      </c>
      <c r="K37" s="43">
        <f>COUNTIF(Tasks!$D$5:$D$300,A37)</f>
        <v/>
      </c>
      <c r="L37" s="43">
        <f>COUNTIFS(Tasks!$D$5:$D$300,A37,Tasks!$M$5:$M$300,"مكتمل")</f>
        <v/>
      </c>
      <c r="M37" s="43">
        <f>COUNTIFS(Tasks!$D$5:$D$300,A37,Tasks!$M$5:$M$300,"قيد التنفيذ")+COUNTIFS(Tasks!$D$5:$D$300,A37,Tasks!$M$5:$M$300,"قيد المراجعة")</f>
        <v/>
      </c>
      <c r="N37" s="43">
        <f>COUNTIF(UAT!$B$5:$B$300,A37)</f>
        <v/>
      </c>
      <c r="O37" s="43">
        <f>COUNTIFS(UAT!$B$5:$B$300,A37,UAT!$H$5:$H$300,"نجح")</f>
        <v/>
      </c>
      <c r="P37" s="43">
        <f>COUNTIFS(UAT!$B$5:$B$300,A37,UAT!$H$5:$H$300,"فشل")</f>
        <v/>
      </c>
      <c r="Q37" s="43">
        <f>IF(G37="جاهز","جاهز (أصلي)",IF(K37=0,"—",IF(AND(L37=K37,N37&gt;0,O37=N37),"جاهز",IF(L37=K37,"مكتمل – بانتظار UAT",IF(L37+M37&gt;0,"قيد التنفيذ","لم يبدأ")))))</f>
        <v/>
      </c>
      <c r="R37" s="30" t="n"/>
    </row>
    <row r="38" ht="42" customHeight="1" s="26">
      <c r="A38" s="41" t="inlineStr">
        <is>
          <t>FR-I09</t>
        </is>
      </c>
      <c r="B38" s="31" t="inlineStr">
        <is>
          <t>View Course Schedule</t>
        </is>
      </c>
      <c r="C38" s="31" t="inlineStr">
        <is>
          <t>عرض جدول الكورس (معلم)</t>
        </is>
      </c>
      <c r="D38" s="31" t="inlineStr">
        <is>
          <t>Instructor Course &amp; Lesson Mgmt</t>
        </is>
      </c>
      <c r="E38" s="31" t="inlineStr">
        <is>
          <t>معلم</t>
        </is>
      </c>
      <c r="F38" s="31" t="inlineStr">
        <is>
          <t>Must</t>
        </is>
      </c>
      <c r="G38" s="31" t="inlineStr">
        <is>
          <t>غير مغطى بالتقرير</t>
        </is>
      </c>
      <c r="H38" s="31" t="inlineStr">
        <is>
          <t>خارج الـ30. قائمة الدروس تبويب ضروري</t>
        </is>
      </c>
      <c r="I38" s="31" t="inlineStr">
        <is>
          <t>لا (داعم)</t>
        </is>
      </c>
      <c r="J38" s="31" t="inlineStr">
        <is>
          <t>WP-T4</t>
        </is>
      </c>
      <c r="K38" s="43">
        <f>COUNTIF(Tasks!$D$5:$D$300,A38)</f>
        <v/>
      </c>
      <c r="L38" s="43">
        <f>COUNTIFS(Tasks!$D$5:$D$300,A38,Tasks!$M$5:$M$300,"مكتمل")</f>
        <v/>
      </c>
      <c r="M38" s="43">
        <f>COUNTIFS(Tasks!$D$5:$D$300,A38,Tasks!$M$5:$M$300,"قيد التنفيذ")+COUNTIFS(Tasks!$D$5:$D$300,A38,Tasks!$M$5:$M$300,"قيد المراجعة")</f>
        <v/>
      </c>
      <c r="N38" s="43">
        <f>COUNTIF(UAT!$B$5:$B$300,A38)</f>
        <v/>
      </c>
      <c r="O38" s="43">
        <f>COUNTIFS(UAT!$B$5:$B$300,A38,UAT!$H$5:$H$300,"نجح")</f>
        <v/>
      </c>
      <c r="P38" s="43">
        <f>COUNTIFS(UAT!$B$5:$B$300,A38,UAT!$H$5:$H$300,"فشل")</f>
        <v/>
      </c>
      <c r="Q38" s="43">
        <f>IF(G38="جاهز","جاهز (أصلي)",IF(K38=0,"—",IF(AND(L38=K38,N38&gt;0,O38=N38),"جاهز",IF(L38=K38,"مكتمل – بانتظار UAT",IF(L38+M38&gt;0,"قيد التنفيذ","لم يبدأ")))))</f>
        <v/>
      </c>
      <c r="R38" s="30" t="n"/>
    </row>
    <row r="39" ht="42" customHeight="1" s="26">
      <c r="A39" s="41" t="inlineStr">
        <is>
          <t>FR-I10</t>
        </is>
      </c>
      <c r="B39" s="31" t="inlineStr">
        <is>
          <t>Update Scheduled Lesson</t>
        </is>
      </c>
      <c r="C39" s="31" t="inlineStr">
        <is>
          <t>تعديل درس مجدول</t>
        </is>
      </c>
      <c r="D39" s="31" t="inlineStr">
        <is>
          <t>Instructor Course &amp; Lesson Mgmt</t>
        </is>
      </c>
      <c r="E39" s="31" t="inlineStr">
        <is>
          <t>معلم</t>
        </is>
      </c>
      <c r="F39" s="31" t="inlineStr">
        <is>
          <t>Must</t>
        </is>
      </c>
      <c r="G39" s="31" t="inlineStr">
        <is>
          <t>غير مغطى بالتقرير</t>
        </is>
      </c>
      <c r="H39" s="31" t="inlineStr">
        <is>
          <t>خارج الـ30</t>
        </is>
      </c>
      <c r="I39" s="31" t="inlineStr">
        <is>
          <t>لا (داعم)</t>
        </is>
      </c>
      <c r="J39" s="31" t="inlineStr">
        <is>
          <t>WP-T4</t>
        </is>
      </c>
      <c r="K39" s="43">
        <f>COUNTIF(Tasks!$D$5:$D$300,A39)</f>
        <v/>
      </c>
      <c r="L39" s="43">
        <f>COUNTIFS(Tasks!$D$5:$D$300,A39,Tasks!$M$5:$M$300,"مكتمل")</f>
        <v/>
      </c>
      <c r="M39" s="43">
        <f>COUNTIFS(Tasks!$D$5:$D$300,A39,Tasks!$M$5:$M$300,"قيد التنفيذ")+COUNTIFS(Tasks!$D$5:$D$300,A39,Tasks!$M$5:$M$300,"قيد المراجعة")</f>
        <v/>
      </c>
      <c r="N39" s="43">
        <f>COUNTIF(UAT!$B$5:$B$300,A39)</f>
        <v/>
      </c>
      <c r="O39" s="43">
        <f>COUNTIFS(UAT!$B$5:$B$300,A39,UAT!$H$5:$H$300,"نجح")</f>
        <v/>
      </c>
      <c r="P39" s="43">
        <f>COUNTIFS(UAT!$B$5:$B$300,A39,UAT!$H$5:$H$300,"فشل")</f>
        <v/>
      </c>
      <c r="Q39" s="43">
        <f>IF(G39="جاهز","جاهز (أصلي)",IF(K39=0,"—",IF(AND(L39=K39,N39&gt;0,O39=N39),"جاهز",IF(L39=K39,"مكتمل – بانتظار UAT",IF(L39+M39&gt;0,"قيد التنفيذ","لم يبدأ")))))</f>
        <v/>
      </c>
      <c r="R39" s="30" t="n"/>
    </row>
    <row r="40" ht="42" customHeight="1" s="26">
      <c r="A40" s="41" t="inlineStr">
        <is>
          <t>FR-I11</t>
        </is>
      </c>
      <c r="B40" s="31" t="inlineStr">
        <is>
          <t>Cancel Scheduled Lesson</t>
        </is>
      </c>
      <c r="C40" s="31" t="inlineStr">
        <is>
          <t>إلغاء درس مجدول</t>
        </is>
      </c>
      <c r="D40" s="31" t="inlineStr">
        <is>
          <t>Instructor Course &amp; Lesson Mgmt</t>
        </is>
      </c>
      <c r="E40" s="31" t="inlineStr">
        <is>
          <t>معلم</t>
        </is>
      </c>
      <c r="F40" s="31" t="inlineStr">
        <is>
          <t>Must</t>
        </is>
      </c>
      <c r="G40" s="31" t="inlineStr">
        <is>
          <t>غير مغطى بالتقرير</t>
        </is>
      </c>
      <c r="H40" s="31" t="inlineStr">
        <is>
          <t>خارج الـ30</t>
        </is>
      </c>
      <c r="I40" s="31" t="inlineStr">
        <is>
          <t>لا (داعم)</t>
        </is>
      </c>
      <c r="J40" s="31" t="inlineStr">
        <is>
          <t>WP-T4</t>
        </is>
      </c>
      <c r="K40" s="43">
        <f>COUNTIF(Tasks!$D$5:$D$300,A40)</f>
        <v/>
      </c>
      <c r="L40" s="43">
        <f>COUNTIFS(Tasks!$D$5:$D$300,A40,Tasks!$M$5:$M$300,"مكتمل")</f>
        <v/>
      </c>
      <c r="M40" s="43">
        <f>COUNTIFS(Tasks!$D$5:$D$300,A40,Tasks!$M$5:$M$300,"قيد التنفيذ")+COUNTIFS(Tasks!$D$5:$D$300,A40,Tasks!$M$5:$M$300,"قيد المراجعة")</f>
        <v/>
      </c>
      <c r="N40" s="43">
        <f>COUNTIF(UAT!$B$5:$B$300,A40)</f>
        <v/>
      </c>
      <c r="O40" s="43">
        <f>COUNTIFS(UAT!$B$5:$B$300,A40,UAT!$H$5:$H$300,"نجح")</f>
        <v/>
      </c>
      <c r="P40" s="43">
        <f>COUNTIFS(UAT!$B$5:$B$300,A40,UAT!$H$5:$H$300,"فشل")</f>
        <v/>
      </c>
      <c r="Q40" s="43">
        <f>IF(G40="جاهز","جاهز (أصلي)",IF(K40=0,"—",IF(AND(L40=K40,N40&gt;0,O40=N40),"جاهز",IF(L40=K40,"مكتمل – بانتظار UAT",IF(L40+M40&gt;0,"قيد التنفيذ","لم يبدأ")))))</f>
        <v/>
      </c>
      <c r="R40" s="30" t="n"/>
    </row>
    <row r="41" ht="42" customHeight="1" s="26">
      <c r="A41" s="41" t="inlineStr">
        <is>
          <t>FR-T10</t>
        </is>
      </c>
      <c r="B41" s="31" t="inlineStr">
        <is>
          <t>Manage Teacher Booking Requests</t>
        </is>
      </c>
      <c r="C41" s="31" t="inlineStr">
        <is>
          <t>إدارة طلبات الحجز (معلم)</t>
        </is>
      </c>
      <c r="D41" s="31" t="inlineStr">
        <is>
          <t>Teacher Discovery &amp; Booking</t>
        </is>
      </c>
      <c r="E41" s="31" t="inlineStr">
        <is>
          <t>معلم</t>
        </is>
      </c>
      <c r="F41" s="31" t="inlineStr">
        <is>
          <t>Must</t>
        </is>
      </c>
      <c r="G41" s="31" t="inlineStr">
        <is>
          <t>غير مغطى بالتقرير</t>
        </is>
      </c>
      <c r="H41" s="31" t="inlineStr">
        <is>
          <t>خارج الـ30. بدونه لا يكتمل مسار FR-T06/S14/S15</t>
        </is>
      </c>
      <c r="I41" s="31" t="inlineStr">
        <is>
          <t>لا (داعم)</t>
        </is>
      </c>
      <c r="J41" s="31" t="inlineStr">
        <is>
          <t>WP-T5</t>
        </is>
      </c>
      <c r="K41" s="43">
        <f>COUNTIF(Tasks!$D$5:$D$300,A41)</f>
        <v/>
      </c>
      <c r="L41" s="43">
        <f>COUNTIFS(Tasks!$D$5:$D$300,A41,Tasks!$M$5:$M$300,"مكتمل")</f>
        <v/>
      </c>
      <c r="M41" s="43">
        <f>COUNTIFS(Tasks!$D$5:$D$300,A41,Tasks!$M$5:$M$300,"قيد التنفيذ")+COUNTIFS(Tasks!$D$5:$D$300,A41,Tasks!$M$5:$M$300,"قيد المراجعة")</f>
        <v/>
      </c>
      <c r="N41" s="43">
        <f>COUNTIF(UAT!$B$5:$B$300,A41)</f>
        <v/>
      </c>
      <c r="O41" s="43">
        <f>COUNTIFS(UAT!$B$5:$B$300,A41,UAT!$H$5:$H$300,"نجح")</f>
        <v/>
      </c>
      <c r="P41" s="43">
        <f>COUNTIFS(UAT!$B$5:$B$300,A41,UAT!$H$5:$H$300,"فشل")</f>
        <v/>
      </c>
      <c r="Q41" s="43">
        <f>IF(G41="جاهز","جاهز (أصلي)",IF(K41=0,"—",IF(AND(L41=K41,N41&gt;0,O41=N41),"جاهز",IF(L41=K41,"مكتمل – بانتظار UAT",IF(L41+M41&gt;0,"قيد التنفيذ","لم يبدأ")))))</f>
        <v/>
      </c>
      <c r="R41" s="30" t="n"/>
    </row>
  </sheetData>
  <autoFilter ref="A4:R41"/>
  <conditionalFormatting sqref="Q5:Q41">
    <cfRule type="expression" rank="0" priority="2" equalAverage="0" aboveAverage="0" dxfId="1" text="" percent="0" bottom="0">
      <formula>LEFT(Q5,4)="جاهز"</formula>
    </cfRule>
    <cfRule type="cellIs" rank="0" priority="3" equalAverage="0" operator="equal" aboveAverage="0" dxfId="2" text="" percent="0" bottom="0">
      <formula>"قيد التنفيذ"</formula>
    </cfRule>
    <cfRule type="expression" rank="0" priority="4" equalAverage="0" aboveAverage="0" dxfId="3" text="" percent="0" bottom="0">
      <formula>LEFT(Q5,5)="مكتمل"</formula>
    </cfRule>
  </conditionalFormatting>
  <conditionalFormatting sqref="G5:G41">
    <cfRule type="cellIs" rank="0" priority="5" equalAverage="0" operator="equal" aboveAverage="0" dxfId="0" text="" percent="0" bottom="0">
      <formula>"غير جاهز"</formula>
    </cfRule>
    <cfRule type="cellIs" rank="0" priority="6" equalAverage="0" operator="equal" aboveAverage="0" dxfId="2" text="" percent="0" bottom="0">
      <formula>"جزئي"</formula>
    </cfRule>
    <cfRule type="cellIs" rank="0" priority="7" equalAverage="0" operator="equal" aboveAverage="0" dxfId="1" text="" percent="0" bottom="0">
      <formula>"جاهز"</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030A0"/>
    <outlinePr summaryBelow="1" summaryRight="1"/>
    <pageSetUpPr fitToPage="0"/>
  </sheetPr>
  <dimension ref="A1:K68"/>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25" min="1" max="2"/>
    <col width="9" customWidth="1" style="25" min="3" max="3"/>
    <col width="60" customWidth="1" style="25" min="4" max="4"/>
    <col width="48" customWidth="1" style="25" min="5" max="5"/>
    <col width="12" customWidth="1" style="25" min="6" max="6"/>
    <col width="14" customWidth="1" style="25" min="7" max="7"/>
    <col width="12" customWidth="1" style="25" min="8" max="9"/>
    <col width="11" customWidth="1" style="25" min="10" max="10"/>
    <col width="30" customWidth="1" style="25" min="11" max="11"/>
  </cols>
  <sheetData>
    <row r="1" ht="42" customHeight="1" s="26">
      <c r="A1" s="27" t="inlineStr">
        <is>
          <t>قبول المستخدم (UAT) — معايير القبول من SRS</t>
        </is>
      </c>
      <c r="B1" s="28" t="n"/>
      <c r="C1" s="28" t="n"/>
      <c r="D1" s="28" t="n"/>
      <c r="E1" s="28" t="n"/>
      <c r="F1" s="28" t="n"/>
      <c r="G1" s="28" t="n"/>
      <c r="H1" s="28" t="n"/>
      <c r="I1" s="28" t="n"/>
      <c r="J1" s="28" t="n"/>
      <c r="K1" s="28" t="n"/>
    </row>
    <row r="2" ht="42" customHeight="1" s="26">
      <c r="A2" s="32" t="inlineStr">
        <is>
          <t>كل صف = فحص واحد. الأصفر = إدخال النتيجة. نتائج «نجح» لكل صفوف FR مع اكتمال مهامه = FR «جاهز» في FR_Matrix.</t>
        </is>
      </c>
      <c r="B2" s="28" t="n"/>
      <c r="C2" s="28" t="n"/>
      <c r="D2" s="28" t="n"/>
      <c r="E2" s="28" t="n"/>
      <c r="F2" s="28" t="n"/>
      <c r="G2" s="28" t="n"/>
      <c r="H2" s="28" t="n"/>
      <c r="I2" s="28" t="n"/>
      <c r="J2" s="28" t="n"/>
      <c r="K2" s="28" t="n"/>
    </row>
    <row r="3" ht="42" customHeight="1" s="26">
      <c r="A3" s="28" t="n"/>
      <c r="B3" s="28" t="n"/>
      <c r="C3" s="28" t="n"/>
      <c r="D3" s="28" t="n"/>
      <c r="E3" s="28" t="n"/>
      <c r="F3" s="28" t="n"/>
      <c r="G3" s="28" t="n"/>
      <c r="H3" s="28" t="n"/>
      <c r="I3" s="28" t="n"/>
      <c r="J3" s="28" t="n"/>
      <c r="K3" s="28" t="n"/>
    </row>
    <row r="4" ht="42" customHeight="1" s="26">
      <c r="A4" s="40" t="inlineStr">
        <is>
          <t>UAT</t>
        </is>
      </c>
      <c r="B4" s="40" t="inlineStr">
        <is>
          <t>FR</t>
        </is>
      </c>
      <c r="C4" s="40" t="inlineStr">
        <is>
          <t>النوع</t>
        </is>
      </c>
      <c r="D4" s="40" t="inlineStr">
        <is>
          <t>الفحص</t>
        </is>
      </c>
      <c r="E4" s="40" t="inlineStr">
        <is>
          <t>النتيجة المتوقعة</t>
        </is>
      </c>
      <c r="F4" s="40" t="inlineStr">
        <is>
          <t>WP</t>
        </is>
      </c>
      <c r="G4" s="40" t="inlineStr">
        <is>
          <t>الدور/الحساب</t>
        </is>
      </c>
      <c r="H4" s="40" t="inlineStr">
        <is>
          <t>النتيجة</t>
        </is>
      </c>
      <c r="I4" s="40" t="inlineStr">
        <is>
          <t>نفّذه</t>
        </is>
      </c>
      <c r="J4" s="40" t="inlineStr">
        <is>
          <t>التاريخ</t>
        </is>
      </c>
      <c r="K4" s="40" t="inlineStr">
        <is>
          <t>ملاحظات / Bug</t>
        </is>
      </c>
    </row>
    <row r="5" ht="42" customHeight="1" s="26">
      <c r="A5" s="41" t="inlineStr">
        <is>
          <t>UAT-001</t>
        </is>
      </c>
      <c r="B5" s="31" t="inlineStr">
        <is>
          <t>FR-I02</t>
        </is>
      </c>
      <c r="C5" s="31" t="inlineStr">
        <is>
          <t>رئيسي</t>
        </is>
      </c>
      <c r="D5" s="31" t="inlineStr">
        <is>
          <t>المعلم يفتح تبويب المجموعة لكورس حضوري ويدخل: السعة، تاريخ البداية/النهاية، مدة الدرس، أيام الحضور + الوقت ثم يحفظ</t>
        </is>
      </c>
      <c r="E5" s="31" t="inlineStr">
        <is>
          <t>الحفظ ينجح وتظهر القيم المحفوظة عند إعادة الفتح</t>
        </is>
      </c>
      <c r="F5" s="31" t="inlineStr">
        <is>
          <t>WP-T2</t>
        </is>
      </c>
      <c r="G5" s="31" t="inlineStr">
        <is>
          <t>معلم</t>
        </is>
      </c>
      <c r="H5" s="30" t="inlineStr">
        <is>
          <t>لم يُختبر</t>
        </is>
      </c>
      <c r="I5" s="30" t="n"/>
      <c r="J5" s="42" t="n"/>
      <c r="K5" s="30" t="n"/>
    </row>
    <row r="6" ht="42" customHeight="1" s="26">
      <c r="A6" s="41" t="inlineStr">
        <is>
          <t>UAT-002</t>
        </is>
      </c>
      <c r="B6" s="31" t="inlineStr">
        <is>
          <t>FR-I02</t>
        </is>
      </c>
      <c r="C6" s="31" t="inlineStr">
        <is>
          <t>استثناء</t>
        </is>
      </c>
      <c r="D6" s="31" t="inlineStr">
        <is>
          <t>إدخال جدول غير صالح (نهاية قبل البداية / سعة 0 / بلا أيام / يوم مكرر)</t>
        </is>
      </c>
      <c r="E6" s="31" t="inlineStr">
        <is>
          <t>رسالة تحقق واضحة ولا يحدث حفظ</t>
        </is>
      </c>
      <c r="F6" s="31" t="inlineStr">
        <is>
          <t>WP-T2</t>
        </is>
      </c>
      <c r="G6" s="31" t="inlineStr">
        <is>
          <t>معلم</t>
        </is>
      </c>
      <c r="H6" s="30" t="inlineStr">
        <is>
          <t>لم يُختبر</t>
        </is>
      </c>
      <c r="I6" s="30" t="n"/>
      <c r="J6" s="42" t="n"/>
      <c r="K6" s="30" t="n"/>
    </row>
    <row r="7" ht="42" customHeight="1" s="26">
      <c r="A7" s="41" t="inlineStr">
        <is>
          <t>UAT-003</t>
        </is>
      </c>
      <c r="B7" s="31" t="inlineStr">
        <is>
          <t>FR-I02</t>
        </is>
      </c>
      <c r="C7" s="31" t="inlineStr">
        <is>
          <t>بديل</t>
        </is>
      </c>
      <c r="D7" s="31" t="inlineStr">
        <is>
          <t>تعديل السعة أو الجدول قبل بداية الكورس</t>
        </is>
      </c>
      <c r="E7" s="31" t="inlineStr">
        <is>
          <t>يتم الحفظ ويُعكس التعديل</t>
        </is>
      </c>
      <c r="F7" s="31" t="inlineStr">
        <is>
          <t>WP-T2</t>
        </is>
      </c>
      <c r="G7" s="31" t="inlineStr">
        <is>
          <t>معلم</t>
        </is>
      </c>
      <c r="H7" s="30" t="inlineStr">
        <is>
          <t>لم يُختبر</t>
        </is>
      </c>
      <c r="I7" s="30" t="n"/>
      <c r="J7" s="42" t="n"/>
      <c r="K7" s="30" t="n"/>
    </row>
    <row r="8" ht="42" customHeight="1" s="26">
      <c r="A8" s="41" t="inlineStr">
        <is>
          <t>UAT-004</t>
        </is>
      </c>
      <c r="B8" s="31" t="inlineStr">
        <is>
          <t>FR-I06</t>
        </is>
      </c>
      <c r="C8" s="31" t="inlineStr">
        <is>
          <t>رئيسي</t>
        </is>
      </c>
      <c r="D8" s="31" t="inlineStr">
        <is>
          <t>نفس الإعداد لكورس أونلاين</t>
        </is>
      </c>
      <c r="E8" s="31" t="inlineStr">
        <is>
          <t>الحفظ ينجح</t>
        </is>
      </c>
      <c r="F8" s="31" t="inlineStr">
        <is>
          <t>WP-T2</t>
        </is>
      </c>
      <c r="G8" s="31" t="inlineStr">
        <is>
          <t>معلم</t>
        </is>
      </c>
      <c r="H8" s="30" t="inlineStr">
        <is>
          <t>لم يُختبر</t>
        </is>
      </c>
      <c r="I8" s="30" t="n"/>
      <c r="J8" s="42" t="n"/>
      <c r="K8" s="30" t="n"/>
    </row>
    <row r="9" ht="42" customHeight="1" s="26">
      <c r="A9" s="41" t="inlineStr">
        <is>
          <t>UAT-005</t>
        </is>
      </c>
      <c r="B9" s="31" t="inlineStr">
        <is>
          <t>FR-I06</t>
        </is>
      </c>
      <c r="C9" s="31" t="inlineStr">
        <is>
          <t>استثناء</t>
        </is>
      </c>
      <c r="D9" s="31" t="inlineStr">
        <is>
          <t>جدول يتعارض مع درس مجدول</t>
        </is>
      </c>
      <c r="E9" s="31" t="inlineStr">
        <is>
          <t>تحذير تعارض من الباك اند ويمنع الحفظ</t>
        </is>
      </c>
      <c r="F9" s="31" t="inlineStr">
        <is>
          <t>WP-T2</t>
        </is>
      </c>
      <c r="G9" s="31" t="inlineStr">
        <is>
          <t>معلم</t>
        </is>
      </c>
      <c r="H9" s="30" t="inlineStr">
        <is>
          <t>لم يُختبر</t>
        </is>
      </c>
      <c r="I9" s="30" t="n"/>
      <c r="J9" s="42" t="n"/>
      <c r="K9" s="30" t="n"/>
    </row>
    <row r="10" ht="42" customHeight="1" s="26">
      <c r="A10" s="41" t="inlineStr">
        <is>
          <t>UAT-006</t>
        </is>
      </c>
      <c r="B10" s="31" t="inlineStr">
        <is>
          <t>FR-I03</t>
        </is>
      </c>
      <c r="C10" s="31" t="inlineStr">
        <is>
          <t>رئيسي</t>
        </is>
      </c>
      <c r="D10" s="31" t="inlineStr">
        <is>
          <t>فتح تبويب «طلاب المجموعة» لمجموعة فيها طلاب مقبولون</t>
        </is>
      </c>
      <c r="E10" s="31" t="inlineStr">
        <is>
          <t>تظهر قائمة (اسم، هاتف، موقع) فقط</t>
        </is>
      </c>
      <c r="F10" s="31" t="inlineStr">
        <is>
          <t>WP-T3</t>
        </is>
      </c>
      <c r="G10" s="31" t="inlineStr">
        <is>
          <t>معلم</t>
        </is>
      </c>
      <c r="H10" s="30" t="inlineStr">
        <is>
          <t>لم يُختبر</t>
        </is>
      </c>
      <c r="I10" s="30" t="n"/>
      <c r="J10" s="42" t="n"/>
      <c r="K10" s="30" t="n"/>
    </row>
    <row r="11" ht="42" customHeight="1" s="26">
      <c r="A11" s="41" t="inlineStr">
        <is>
          <t>UAT-007</t>
        </is>
      </c>
      <c r="B11" s="31" t="inlineStr">
        <is>
          <t>FR-I03</t>
        </is>
      </c>
      <c r="C11" s="31" t="inlineStr">
        <is>
          <t>بديل</t>
        </is>
      </c>
      <c r="D11" s="31" t="inlineStr">
        <is>
          <t>البحث بالاسم</t>
        </is>
      </c>
      <c r="E11" s="31" t="inlineStr">
        <is>
          <t>تُفلتر القائمة</t>
        </is>
      </c>
      <c r="F11" s="31" t="inlineStr">
        <is>
          <t>WP-T3</t>
        </is>
      </c>
      <c r="G11" s="31" t="inlineStr">
        <is>
          <t>معلم</t>
        </is>
      </c>
      <c r="H11" s="30" t="inlineStr">
        <is>
          <t>لم يُختبر</t>
        </is>
      </c>
      <c r="I11" s="30" t="n"/>
      <c r="J11" s="42" t="n"/>
      <c r="K11" s="30" t="n"/>
    </row>
    <row r="12" ht="42" customHeight="1" s="26">
      <c r="A12" s="41" t="inlineStr">
        <is>
          <t>UAT-008</t>
        </is>
      </c>
      <c r="B12" s="31" t="inlineStr">
        <is>
          <t>FR-I03</t>
        </is>
      </c>
      <c r="C12" s="31" t="inlineStr">
        <is>
          <t>استثناء</t>
        </is>
      </c>
      <c r="D12" s="31" t="inlineStr">
        <is>
          <t>مجموعة بلا طلاب</t>
        </is>
      </c>
      <c r="E12" s="31" t="inlineStr">
        <is>
          <t>رسالة فراغ مناسبة (ليست خطأ)</t>
        </is>
      </c>
      <c r="F12" s="31" t="inlineStr">
        <is>
          <t>WP-T3</t>
        </is>
      </c>
      <c r="G12" s="31" t="inlineStr">
        <is>
          <t>معلم</t>
        </is>
      </c>
      <c r="H12" s="30" t="inlineStr">
        <is>
          <t>لم يُختبر</t>
        </is>
      </c>
      <c r="I12" s="30" t="n"/>
      <c r="J12" s="42" t="n"/>
      <c r="K12" s="30" t="n"/>
    </row>
    <row r="13" ht="42" customHeight="1" s="26">
      <c r="A13" s="41" t="inlineStr">
        <is>
          <t>UAT-009</t>
        </is>
      </c>
      <c r="B13" s="31" t="inlineStr">
        <is>
          <t>FR-I04</t>
        </is>
      </c>
      <c r="C13" s="31" t="inlineStr">
        <is>
          <t>رئيسي</t>
        </is>
      </c>
      <c r="D13" s="31" t="inlineStr">
        <is>
          <t>إضافة درس حضوري: رقم، موضوع، تاريخ، وقت، مدة، (قاعة)</t>
        </is>
      </c>
      <c r="E13" s="31" t="inlineStr">
        <is>
          <t>يظهر الدرس في جدول الكورس مع اليوم الصحيح</t>
        </is>
      </c>
      <c r="F13" s="31" t="inlineStr">
        <is>
          <t>WP-T4</t>
        </is>
      </c>
      <c r="G13" s="31" t="inlineStr">
        <is>
          <t>معلم</t>
        </is>
      </c>
      <c r="H13" s="30" t="inlineStr">
        <is>
          <t>لم يُختبر</t>
        </is>
      </c>
      <c r="I13" s="30" t="n"/>
      <c r="J13" s="42" t="n"/>
      <c r="K13" s="30" t="n"/>
    </row>
    <row r="14" ht="42" customHeight="1" s="26">
      <c r="A14" s="41" t="inlineStr">
        <is>
          <t>UAT-010</t>
        </is>
      </c>
      <c r="B14" s="31" t="inlineStr">
        <is>
          <t>FR-I04</t>
        </is>
      </c>
      <c r="C14" s="31" t="inlineStr">
        <is>
          <t>استثناء</t>
        </is>
      </c>
      <c r="D14" s="31" t="inlineStr">
        <is>
          <t>درس يتعارض مع درس آخر أو تاريخ/وقت غير صالح</t>
        </is>
      </c>
      <c r="E14" s="31" t="inlineStr">
        <is>
          <t>رسالة خطأ ولا يُحفظ</t>
        </is>
      </c>
      <c r="F14" s="31" t="inlineStr">
        <is>
          <t>WP-T4</t>
        </is>
      </c>
      <c r="G14" s="31" t="inlineStr">
        <is>
          <t>معلم</t>
        </is>
      </c>
      <c r="H14" s="30" t="inlineStr">
        <is>
          <t>لم يُختبر</t>
        </is>
      </c>
      <c r="I14" s="30" t="n"/>
      <c r="J14" s="42" t="n"/>
      <c r="K14" s="30" t="n"/>
    </row>
    <row r="15" ht="42" customHeight="1" s="26">
      <c r="A15" s="41" t="inlineStr">
        <is>
          <t>UAT-011</t>
        </is>
      </c>
      <c r="B15" s="31" t="inlineStr">
        <is>
          <t>FR-I04</t>
        </is>
      </c>
      <c r="C15" s="31" t="inlineStr">
        <is>
          <t>بديل</t>
        </is>
      </c>
      <c r="D15" s="31" t="inlineStr">
        <is>
          <t>تعديل درس قبل موعده</t>
        </is>
      </c>
      <c r="E15" s="31" t="inlineStr">
        <is>
          <t>يُحفظ التعديل؛ ولا يمكن تعديل درس بدأ</t>
        </is>
      </c>
      <c r="F15" s="31" t="inlineStr">
        <is>
          <t>WP-T4</t>
        </is>
      </c>
      <c r="G15" s="31" t="inlineStr">
        <is>
          <t>معلم</t>
        </is>
      </c>
      <c r="H15" s="30" t="inlineStr">
        <is>
          <t>لم يُختبر</t>
        </is>
      </c>
      <c r="I15" s="30" t="n"/>
      <c r="J15" s="42" t="n"/>
      <c r="K15" s="30" t="n"/>
    </row>
    <row r="16" ht="42" customHeight="1" s="26">
      <c r="A16" s="41" t="inlineStr">
        <is>
          <t>UAT-012</t>
        </is>
      </c>
      <c r="B16" s="31" t="inlineStr">
        <is>
          <t>FR-I08</t>
        </is>
      </c>
      <c r="C16" s="31" t="inlineStr">
        <is>
          <t>رئيسي</t>
        </is>
      </c>
      <c r="D16" s="31" t="inlineStr">
        <is>
          <t>إضافة درس أونلاين مع منصة ورابط http/https</t>
        </is>
      </c>
      <c r="E16" s="31" t="inlineStr">
        <is>
          <t>يظهر الدرس مع المنصة والرابط</t>
        </is>
      </c>
      <c r="F16" s="31" t="inlineStr">
        <is>
          <t>WP-T4</t>
        </is>
      </c>
      <c r="G16" s="31" t="inlineStr">
        <is>
          <t>معلم</t>
        </is>
      </c>
      <c r="H16" s="30" t="inlineStr">
        <is>
          <t>لم يُختبر</t>
        </is>
      </c>
      <c r="I16" s="30" t="n"/>
      <c r="J16" s="42" t="n"/>
      <c r="K16" s="30" t="n"/>
    </row>
    <row r="17" ht="42" customHeight="1" s="26">
      <c r="A17" s="41" t="inlineStr">
        <is>
          <t>UAT-013</t>
        </is>
      </c>
      <c r="B17" s="31" t="inlineStr">
        <is>
          <t>FR-I08</t>
        </is>
      </c>
      <c r="C17" s="31" t="inlineStr">
        <is>
          <t>استثناء</t>
        </is>
      </c>
      <c r="D17" s="31" t="inlineStr">
        <is>
          <t>رابط غير صالح (مثل javascript: أو نص عشوائي) أو تعارض</t>
        </is>
      </c>
      <c r="E17" s="31" t="inlineStr">
        <is>
          <t>رسالة تحقق/خطأ ولا يُحفظ</t>
        </is>
      </c>
      <c r="F17" s="31" t="inlineStr">
        <is>
          <t>WP-T4</t>
        </is>
      </c>
      <c r="G17" s="31" t="inlineStr">
        <is>
          <t>معلم</t>
        </is>
      </c>
      <c r="H17" s="30" t="inlineStr">
        <is>
          <t>لم يُختبر</t>
        </is>
      </c>
      <c r="I17" s="30" t="n"/>
      <c r="J17" s="42" t="n"/>
      <c r="K17" s="30" t="n"/>
    </row>
    <row r="18" ht="42" customHeight="1" s="26">
      <c r="A18" s="41" t="inlineStr">
        <is>
          <t>UAT-014</t>
        </is>
      </c>
      <c r="B18" s="31" t="inlineStr">
        <is>
          <t>FR-T06</t>
        </is>
      </c>
      <c r="C18" s="31" t="inlineStr">
        <is>
          <t>رئيسي</t>
        </is>
      </c>
      <c r="D18" s="31" t="inlineStr">
        <is>
          <t>الطالب يرسل طلب حجز (معلم، مادة، صف، وضع، تاريخ، وقت، مدة، ملاحظة)</t>
        </is>
      </c>
      <c r="E18" s="31" t="inlineStr">
        <is>
          <t>يُنشأ الطلب ويظهر بحالة معلّق عند الطالب والمعلم</t>
        </is>
      </c>
      <c r="F18" s="31" t="inlineStr">
        <is>
          <t>WP-S1</t>
        </is>
      </c>
      <c r="G18" s="31" t="inlineStr">
        <is>
          <t>طالب</t>
        </is>
      </c>
      <c r="H18" s="30" t="inlineStr">
        <is>
          <t>لم يُختبر</t>
        </is>
      </c>
      <c r="I18" s="30" t="n"/>
      <c r="J18" s="42" t="n"/>
      <c r="K18" s="30" t="n"/>
    </row>
    <row r="19" ht="42" customHeight="1" s="26">
      <c r="A19" s="41" t="inlineStr">
        <is>
          <t>UAT-015</t>
        </is>
      </c>
      <c r="B19" s="31" t="inlineStr">
        <is>
          <t>FR-T06</t>
        </is>
      </c>
      <c r="C19" s="31" t="inlineStr">
        <is>
          <t>رئيسي</t>
        </is>
      </c>
      <c r="D19" s="31" t="inlineStr">
        <is>
          <t>المعلم يقبل الطلب والرصيد كافٍ</t>
        </is>
      </c>
      <c r="E19" s="31" t="inlineStr">
        <is>
          <t>يُخصم من المحفظة ويتحول الحجز لـ Confirmed ويظهر عند الطالب</t>
        </is>
      </c>
      <c r="F19" s="31" t="inlineStr">
        <is>
          <t>WP-T5</t>
        </is>
      </c>
      <c r="G19" s="31" t="inlineStr">
        <is>
          <t>معلم + طالب</t>
        </is>
      </c>
      <c r="H19" s="30" t="inlineStr">
        <is>
          <t>لم يُختبر</t>
        </is>
      </c>
      <c r="I19" s="30" t="n"/>
      <c r="J19" s="42" t="n"/>
      <c r="K19" s="30" t="n"/>
    </row>
    <row r="20" ht="42" customHeight="1" s="26">
      <c r="A20" s="41" t="inlineStr">
        <is>
          <t>UAT-016</t>
        </is>
      </c>
      <c r="B20" s="31" t="inlineStr">
        <is>
          <t>FR-T06</t>
        </is>
      </c>
      <c r="C20" s="31" t="inlineStr">
        <is>
          <t>بديل</t>
        </is>
      </c>
      <c r="D20" s="31" t="inlineStr">
        <is>
          <t>رصيد الطالب غير كافٍ</t>
        </is>
      </c>
      <c r="E20" s="31" t="inlineStr">
        <is>
          <t>يبقى الحجز غير مؤكد وتظهر رسالة/تنبيه يوجّه لشحن المحفظة</t>
        </is>
      </c>
      <c r="F20" s="31" t="inlineStr">
        <is>
          <t>WP-S1, WP-T5</t>
        </is>
      </c>
      <c r="G20" s="31" t="inlineStr">
        <is>
          <t>طالب</t>
        </is>
      </c>
      <c r="H20" s="30" t="inlineStr">
        <is>
          <t>لم يُختبر</t>
        </is>
      </c>
      <c r="I20" s="30" t="n"/>
      <c r="J20" s="42" t="n"/>
      <c r="K20" s="30" t="n"/>
    </row>
    <row r="21" ht="42" customHeight="1" s="26">
      <c r="A21" s="41" t="inlineStr">
        <is>
          <t>UAT-017</t>
        </is>
      </c>
      <c r="B21" s="31" t="inlineStr">
        <is>
          <t>FR-T06</t>
        </is>
      </c>
      <c r="C21" s="31" t="inlineStr">
        <is>
          <t>استثناء</t>
        </is>
      </c>
      <c r="D21" s="31" t="inlineStr">
        <is>
          <t>فشل المعاملة المالية</t>
        </is>
      </c>
      <c r="E21" s="31" t="inlineStr">
        <is>
          <t>لا يُؤكَّد الحجز وتظهر رسالة الباك اند</t>
        </is>
      </c>
      <c r="F21" s="31" t="inlineStr">
        <is>
          <t>WP-T5</t>
        </is>
      </c>
      <c r="G21" s="31" t="inlineStr">
        <is>
          <t>معلم</t>
        </is>
      </c>
      <c r="H21" s="30" t="inlineStr">
        <is>
          <t>لم يُختبر</t>
        </is>
      </c>
      <c r="I21" s="30" t="n"/>
      <c r="J21" s="42" t="n"/>
      <c r="K21" s="30" t="n"/>
    </row>
    <row r="22" ht="42" customHeight="1" s="26">
      <c r="A22" s="41" t="inlineStr">
        <is>
          <t>UAT-018</t>
        </is>
      </c>
      <c r="B22" s="31" t="inlineStr">
        <is>
          <t>FR-T06</t>
        </is>
      </c>
      <c r="C22" s="31" t="inlineStr">
        <is>
          <t>رئيسي</t>
        </is>
      </c>
      <c r="D22" s="31" t="inlineStr">
        <is>
          <t>زر الحجز في صفحة المعلم</t>
        </is>
      </c>
      <c r="E22" s="31" t="inlineStr">
        <is>
          <t>مفعّل للطالب ويوجّه لشاشة الحجز؛ الزائر يُحوَّل لتسجيل الدخول</t>
        </is>
      </c>
      <c r="F22" s="31" t="inlineStr">
        <is>
          <t>WP-S1</t>
        </is>
      </c>
      <c r="G22" s="31" t="inlineStr">
        <is>
          <t>زائر + طالب</t>
        </is>
      </c>
      <c r="H22" s="30" t="inlineStr">
        <is>
          <t>لم يُختبر</t>
        </is>
      </c>
      <c r="I22" s="30" t="n"/>
      <c r="J22" s="42" t="n"/>
      <c r="K22" s="30" t="n"/>
    </row>
    <row r="23" ht="42" customHeight="1" s="26">
      <c r="A23" s="41" t="inlineStr">
        <is>
          <t>UAT-019</t>
        </is>
      </c>
      <c r="B23" s="31" t="inlineStr">
        <is>
          <t>FR-T11</t>
        </is>
      </c>
      <c r="C23" s="31" t="inlineStr">
        <is>
          <t>رئيسي</t>
        </is>
      </c>
      <c r="D23" s="31" t="inlineStr">
        <is>
          <t>تقييم حجز Completed (نجوم + مراجعة اختيارية)</t>
        </is>
      </c>
      <c r="E23" s="31" t="inlineStr">
        <is>
          <t>يُسجَّل التقييم ويظهر تحديث تقييم المعلم</t>
        </is>
      </c>
      <c r="F23" s="31" t="inlineStr">
        <is>
          <t>WP-S4</t>
        </is>
      </c>
      <c r="G23" s="31" t="inlineStr">
        <is>
          <t>طالب</t>
        </is>
      </c>
      <c r="H23" s="30" t="inlineStr">
        <is>
          <t>لم يُختبر</t>
        </is>
      </c>
      <c r="I23" s="30" t="n"/>
      <c r="J23" s="42" t="n"/>
      <c r="K23" s="30" t="n"/>
    </row>
    <row r="24" ht="42" customHeight="1" s="26">
      <c r="A24" s="41" t="inlineStr">
        <is>
          <t>UAT-020</t>
        </is>
      </c>
      <c r="B24" s="31" t="inlineStr">
        <is>
          <t>FR-T11</t>
        </is>
      </c>
      <c r="C24" s="31" t="inlineStr">
        <is>
          <t>بديل</t>
        </is>
      </c>
      <c r="D24" s="31" t="inlineStr">
        <is>
          <t>تقييم بدون مراجعة نصية</t>
        </is>
      </c>
      <c r="E24" s="31" t="inlineStr">
        <is>
          <t>ينجح</t>
        </is>
      </c>
      <c r="F24" s="31" t="inlineStr">
        <is>
          <t>WP-S4</t>
        </is>
      </c>
      <c r="G24" s="31" t="inlineStr">
        <is>
          <t>طالب</t>
        </is>
      </c>
      <c r="H24" s="30" t="inlineStr">
        <is>
          <t>لم يُختبر</t>
        </is>
      </c>
      <c r="I24" s="30" t="n"/>
      <c r="J24" s="42" t="n"/>
      <c r="K24" s="30" t="n"/>
    </row>
    <row r="25" ht="42" customHeight="1" s="26">
      <c r="A25" s="41" t="inlineStr">
        <is>
          <t>UAT-021</t>
        </is>
      </c>
      <c r="B25" s="31" t="inlineStr">
        <is>
          <t>FR-T11</t>
        </is>
      </c>
      <c r="C25" s="31" t="inlineStr">
        <is>
          <t>استثناء</t>
        </is>
      </c>
      <c r="D25" s="31" t="inlineStr">
        <is>
          <t>حجز غير مكتمل أو مُقيَّم سابقًا</t>
        </is>
      </c>
      <c r="E25" s="31" t="inlineStr">
        <is>
          <t>لا يمكن التقييم (إخفاء الزر أو رسالة الباك اند)</t>
        </is>
      </c>
      <c r="F25" s="31" t="inlineStr">
        <is>
          <t>WP-S4</t>
        </is>
      </c>
      <c r="G25" s="31" t="inlineStr">
        <is>
          <t>طالب</t>
        </is>
      </c>
      <c r="H25" s="30" t="inlineStr">
        <is>
          <t>لم يُختبر</t>
        </is>
      </c>
      <c r="I25" s="30" t="n"/>
      <c r="J25" s="42" t="n"/>
      <c r="K25" s="30" t="n"/>
    </row>
    <row r="26" ht="42" customHeight="1" s="26">
      <c r="A26" s="41" t="inlineStr">
        <is>
          <t>UAT-022</t>
        </is>
      </c>
      <c r="B26" s="31" t="inlineStr">
        <is>
          <t>FR-P11</t>
        </is>
      </c>
      <c r="C26" s="31" t="inlineStr">
        <is>
          <t>رئيسي</t>
        </is>
      </c>
      <c r="D26" s="31" t="inlineStr">
        <is>
          <t>ولي أمر يفتح تقرير الأبناء وعنده إشعارات غير مقروءة</t>
        </is>
      </c>
      <c r="E26" s="31" t="inlineStr">
        <is>
          <t>العدد يظهر بوضوح</t>
        </is>
      </c>
      <c r="F26" s="31" t="inlineStr">
        <is>
          <t>WP-P1</t>
        </is>
      </c>
      <c r="G26" s="31" t="inlineStr">
        <is>
          <t>ولي أمر</t>
        </is>
      </c>
      <c r="H26" s="30" t="inlineStr">
        <is>
          <t>لم يُختبر</t>
        </is>
      </c>
      <c r="I26" s="30" t="n"/>
      <c r="J26" s="42" t="n"/>
      <c r="K26" s="30" t="n"/>
    </row>
    <row r="27" ht="42" customHeight="1" s="26">
      <c r="A27" s="41" t="inlineStr">
        <is>
          <t>UAT-023</t>
        </is>
      </c>
      <c r="B27" s="31" t="inlineStr">
        <is>
          <t>FR-P11</t>
        </is>
      </c>
      <c r="C27" s="31" t="inlineStr">
        <is>
          <t>بديل</t>
        </is>
      </c>
      <c r="D27" s="31" t="inlineStr">
        <is>
          <t>لا توجد إشعارات غير مقروءة</t>
        </is>
      </c>
      <c r="E27" s="31" t="inlineStr">
        <is>
          <t>يظهر 0</t>
        </is>
      </c>
      <c r="F27" s="31" t="inlineStr">
        <is>
          <t>WP-P1</t>
        </is>
      </c>
      <c r="G27" s="31" t="inlineStr">
        <is>
          <t>ولي أمر</t>
        </is>
      </c>
      <c r="H27" s="30" t="inlineStr">
        <is>
          <t>لم يُختبر</t>
        </is>
      </c>
      <c r="I27" s="30" t="n"/>
      <c r="J27" s="42" t="n"/>
      <c r="K27" s="30" t="n"/>
    </row>
    <row r="28" ht="42" customHeight="1" s="26">
      <c r="A28" s="41" t="inlineStr">
        <is>
          <t>UAT-024</t>
        </is>
      </c>
      <c r="B28" s="31" t="inlineStr">
        <is>
          <t>FR-P11</t>
        </is>
      </c>
      <c r="C28" s="31" t="inlineStr">
        <is>
          <t>استثناء</t>
        </is>
      </c>
      <c r="D28" s="31" t="inlineStr">
        <is>
          <t>فشل جلب البيانات</t>
        </is>
      </c>
      <c r="E28" s="31" t="inlineStr">
        <is>
          <t>تظهر اللوحة بدون العدد مع تنبيه</t>
        </is>
      </c>
      <c r="F28" s="31" t="inlineStr">
        <is>
          <t>WP-P1</t>
        </is>
      </c>
      <c r="G28" s="31" t="inlineStr">
        <is>
          <t>ولي أمر</t>
        </is>
      </c>
      <c r="H28" s="30" t="inlineStr">
        <is>
          <t>لم يُختبر</t>
        </is>
      </c>
      <c r="I28" s="30" t="n"/>
      <c r="J28" s="42" t="n"/>
      <c r="K28" s="30" t="n"/>
    </row>
    <row r="29" ht="42" customHeight="1" s="26">
      <c r="A29" s="41" t="inlineStr">
        <is>
          <t>UAT-025</t>
        </is>
      </c>
      <c r="B29" s="31" t="inlineStr">
        <is>
          <t>FR-P08</t>
        </is>
      </c>
      <c r="C29" s="31" t="inlineStr">
        <is>
          <t>رئيسي</t>
        </is>
      </c>
      <c r="D29" s="31" t="inlineStr">
        <is>
          <t>ولي أمر يرى أبناءه المرتبطين فقط</t>
        </is>
      </c>
      <c r="E29" s="31" t="inlineStr">
        <is>
          <t>لا يظهر ابن غير مرتبط ولا يوجد إدخال يدوي لـ studentId</t>
        </is>
      </c>
      <c r="F29" s="31" t="inlineStr">
        <is>
          <t>WP-P1</t>
        </is>
      </c>
      <c r="G29" s="31" t="inlineStr">
        <is>
          <t>ولي أمر</t>
        </is>
      </c>
      <c r="H29" s="30" t="inlineStr">
        <is>
          <t>لم يُختبر</t>
        </is>
      </c>
      <c r="I29" s="30" t="n"/>
      <c r="J29" s="42" t="n"/>
      <c r="K29" s="30" t="n"/>
    </row>
    <row r="30" ht="42" customHeight="1" s="26">
      <c r="A30" s="41" t="inlineStr">
        <is>
          <t>UAT-026</t>
        </is>
      </c>
      <c r="B30" s="31" t="inlineStr">
        <is>
          <t>FR-P08</t>
        </is>
      </c>
      <c r="C30" s="31" t="inlineStr">
        <is>
          <t>استثناء</t>
        </is>
      </c>
      <c r="D30" s="31" t="inlineStr">
        <is>
          <t>استدعاء بيانات ابن غير مرتبط (رفض 403 من الباك اند)</t>
        </is>
      </c>
      <c r="E30" s="31" t="inlineStr">
        <is>
          <t>رسالة «غير مصرّح» وليس شاشة فاضية/كسر</t>
        </is>
      </c>
      <c r="F30" s="31" t="inlineStr">
        <is>
          <t>WP-P1</t>
        </is>
      </c>
      <c r="G30" s="31" t="inlineStr">
        <is>
          <t>ولي أمر</t>
        </is>
      </c>
      <c r="H30" s="30" t="inlineStr">
        <is>
          <t>لم يُختبر</t>
        </is>
      </c>
      <c r="I30" s="30" t="n"/>
      <c r="J30" s="42" t="n"/>
      <c r="K30" s="30" t="n"/>
    </row>
    <row r="31" ht="42" customHeight="1" s="26">
      <c r="A31" s="41" t="inlineStr">
        <is>
          <t>UAT-027</t>
        </is>
      </c>
      <c r="B31" s="31" t="inlineStr">
        <is>
          <t>FR-S09</t>
        </is>
      </c>
      <c r="C31" s="31" t="inlineStr">
        <is>
          <t>رئيسي</t>
        </is>
      </c>
      <c r="D31" s="31" t="inlineStr">
        <is>
          <t>الطالب يفتح صفحة الحضور</t>
        </is>
      </c>
      <c r="E31" s="31" t="inlineStr">
        <is>
          <t>سجل بحالة كل درس + نسبة الحضور حيث تكفي السجلات</t>
        </is>
      </c>
      <c r="F31" s="31" t="inlineStr">
        <is>
          <t>WP-S7</t>
        </is>
      </c>
      <c r="G31" s="31" t="inlineStr">
        <is>
          <t>طالب</t>
        </is>
      </c>
      <c r="H31" s="30" t="inlineStr">
        <is>
          <t>لم يُختبر</t>
        </is>
      </c>
      <c r="I31" s="30" t="n"/>
      <c r="J31" s="42" t="n"/>
      <c r="K31" s="30" t="n"/>
    </row>
    <row r="32" ht="42" customHeight="1" s="26">
      <c r="A32" s="41" t="inlineStr">
        <is>
          <t>UAT-028</t>
        </is>
      </c>
      <c r="B32" s="31" t="inlineStr">
        <is>
          <t>FR-S09</t>
        </is>
      </c>
      <c r="C32" s="31" t="inlineStr">
        <is>
          <t>بديل</t>
        </is>
      </c>
      <c r="D32" s="31" t="inlineStr">
        <is>
          <t>فلتر تاريخ/كورس</t>
        </is>
      </c>
      <c r="E32" s="31" t="inlineStr">
        <is>
          <t>تتحدّث النتائج</t>
        </is>
      </c>
      <c r="F32" s="31" t="inlineStr">
        <is>
          <t>WP-S7</t>
        </is>
      </c>
      <c r="G32" s="31" t="inlineStr">
        <is>
          <t>طالب</t>
        </is>
      </c>
      <c r="H32" s="30" t="inlineStr">
        <is>
          <t>لم يُختبر</t>
        </is>
      </c>
      <c r="I32" s="30" t="n"/>
      <c r="J32" s="42" t="n"/>
      <c r="K32" s="30" t="n"/>
    </row>
    <row r="33" ht="42" customHeight="1" s="26">
      <c r="A33" s="41" t="inlineStr">
        <is>
          <t>UAT-029</t>
        </is>
      </c>
      <c r="B33" s="31" t="inlineStr">
        <is>
          <t>FR-S09</t>
        </is>
      </c>
      <c r="C33" s="31" t="inlineStr">
        <is>
          <t>استثناء</t>
        </is>
      </c>
      <c r="D33" s="31" t="inlineStr">
        <is>
          <t>لا سجلات / فشل الجلب</t>
        </is>
      </c>
      <c r="E33" s="31" t="inlineStr">
        <is>
          <t>رسالة فراغ / رسالة خطأ مع إعادة المحاولة</t>
        </is>
      </c>
      <c r="F33" s="31" t="inlineStr">
        <is>
          <t>WP-S7</t>
        </is>
      </c>
      <c r="G33" s="31" t="inlineStr">
        <is>
          <t>طالب</t>
        </is>
      </c>
      <c r="H33" s="30" t="inlineStr">
        <is>
          <t>لم يُختبر</t>
        </is>
      </c>
      <c r="I33" s="30" t="n"/>
      <c r="J33" s="42" t="n"/>
      <c r="K33" s="30" t="n"/>
    </row>
    <row r="34" ht="42" customHeight="1" s="26">
      <c r="A34" s="41" t="inlineStr">
        <is>
          <t>UAT-030</t>
        </is>
      </c>
      <c r="B34" s="31" t="inlineStr">
        <is>
          <t>FR-S10</t>
        </is>
      </c>
      <c r="C34" s="31" t="inlineStr">
        <is>
          <t>رئيسي</t>
        </is>
      </c>
      <c r="D34" s="31" t="inlineStr">
        <is>
          <t>فتح نتائج الامتحانات</t>
        </is>
      </c>
      <c r="E34" s="31" t="inlineStr">
        <is>
          <t>عنوان، تاريخ، درجة، مجموع، نسبة، ملاحظات</t>
        </is>
      </c>
      <c r="F34" s="31" t="inlineStr">
        <is>
          <t>WP-S8</t>
        </is>
      </c>
      <c r="G34" s="31" t="inlineStr">
        <is>
          <t>طالب</t>
        </is>
      </c>
      <c r="H34" s="30" t="inlineStr">
        <is>
          <t>لم يُختبر</t>
        </is>
      </c>
      <c r="I34" s="30" t="n"/>
      <c r="J34" s="42" t="n"/>
      <c r="K34" s="30" t="n"/>
    </row>
    <row r="35" ht="42" customHeight="1" s="26">
      <c r="A35" s="41" t="inlineStr">
        <is>
          <t>UAT-031</t>
        </is>
      </c>
      <c r="B35" s="31" t="inlineStr">
        <is>
          <t>FR-S10</t>
        </is>
      </c>
      <c r="C35" s="31" t="inlineStr">
        <is>
          <t>استثناء</t>
        </is>
      </c>
      <c r="D35" s="31" t="inlineStr">
        <is>
          <t>لا نتائج / فشل الجلب</t>
        </is>
      </c>
      <c r="E35" s="31" t="inlineStr">
        <is>
          <t>رسالة فراغ / خطأ</t>
        </is>
      </c>
      <c r="F35" s="31" t="inlineStr">
        <is>
          <t>WP-S8</t>
        </is>
      </c>
      <c r="G35" s="31" t="inlineStr">
        <is>
          <t>طالب</t>
        </is>
      </c>
      <c r="H35" s="30" t="inlineStr">
        <is>
          <t>لم يُختبر</t>
        </is>
      </c>
      <c r="I35" s="30" t="n"/>
      <c r="J35" s="42" t="n"/>
      <c r="K35" s="30" t="n"/>
    </row>
    <row r="36" ht="42" customHeight="1" s="26">
      <c r="A36" s="41" t="inlineStr">
        <is>
          <t>UAT-032</t>
        </is>
      </c>
      <c r="B36" s="31" t="inlineStr">
        <is>
          <t>FR-S11</t>
        </is>
      </c>
      <c r="C36" s="31" t="inlineStr">
        <is>
          <t>رئيسي</t>
        </is>
      </c>
      <c r="D36" s="31" t="inlineStr">
        <is>
          <t>فتح التقدم الأكاديمي</t>
        </is>
      </c>
      <c r="E36" s="31" t="inlineStr">
        <is>
          <t>نسبة الحضور ومتوسط الامتحانات + أعداد الجلسات/الامتحانات</t>
        </is>
      </c>
      <c r="F36" s="31" t="inlineStr">
        <is>
          <t>WP-S9</t>
        </is>
      </c>
      <c r="G36" s="31" t="inlineStr">
        <is>
          <t>طالب</t>
        </is>
      </c>
      <c r="H36" s="30" t="inlineStr">
        <is>
          <t>لم يُختبر</t>
        </is>
      </c>
      <c r="I36" s="30" t="n"/>
      <c r="J36" s="42" t="n"/>
      <c r="K36" s="30" t="n"/>
    </row>
    <row r="37" ht="42" customHeight="1" s="26">
      <c r="A37" s="41" t="inlineStr">
        <is>
          <t>UAT-033</t>
        </is>
      </c>
      <c r="B37" s="31" t="inlineStr">
        <is>
          <t>FR-S11</t>
        </is>
      </c>
      <c r="C37" s="31" t="inlineStr">
        <is>
          <t>بديل</t>
        </is>
      </c>
      <c r="D37" s="31" t="inlineStr">
        <is>
          <t>مؤشر غير قابل للحساب</t>
        </is>
      </c>
      <c r="E37" s="31" t="inlineStr">
        <is>
          <t>يظهر «—» وليس 0%</t>
        </is>
      </c>
      <c r="F37" s="31" t="inlineStr">
        <is>
          <t>WP-S9</t>
        </is>
      </c>
      <c r="G37" s="31" t="inlineStr">
        <is>
          <t>طالب</t>
        </is>
      </c>
      <c r="H37" s="30" t="inlineStr">
        <is>
          <t>لم يُختبر</t>
        </is>
      </c>
      <c r="I37" s="30" t="n"/>
      <c r="J37" s="42" t="n"/>
      <c r="K37" s="30" t="n"/>
    </row>
    <row r="38" ht="42" customHeight="1" s="26">
      <c r="A38" s="41" t="inlineStr">
        <is>
          <t>UAT-034</t>
        </is>
      </c>
      <c r="B38" s="31" t="inlineStr">
        <is>
          <t>FR-S14</t>
        </is>
      </c>
      <c r="C38" s="31" t="inlineStr">
        <is>
          <t>رئيسي</t>
        </is>
      </c>
      <c r="D38" s="31" t="inlineStr">
        <is>
          <t>إلغاء حجز مؤهل مع سبب اختياري</t>
        </is>
      </c>
      <c r="E38" s="31" t="inlineStr">
        <is>
          <t>تتحول الحالة إلى Cancelled ويبقى بالسجل</t>
        </is>
      </c>
      <c r="F38" s="31" t="inlineStr">
        <is>
          <t>WP-S2</t>
        </is>
      </c>
      <c r="G38" s="31" t="inlineStr">
        <is>
          <t>طالب</t>
        </is>
      </c>
      <c r="H38" s="30" t="inlineStr">
        <is>
          <t>لم يُختبر</t>
        </is>
      </c>
      <c r="I38" s="30" t="n"/>
      <c r="J38" s="42" t="n"/>
      <c r="K38" s="30" t="n"/>
    </row>
    <row r="39" ht="42" customHeight="1" s="26">
      <c r="A39" s="41" t="inlineStr">
        <is>
          <t>UAT-035</t>
        </is>
      </c>
      <c r="B39" s="31" t="inlineStr">
        <is>
          <t>FR-S14</t>
        </is>
      </c>
      <c r="C39" s="31" t="inlineStr">
        <is>
          <t>بديل</t>
        </is>
      </c>
      <c r="D39" s="31" t="inlineStr">
        <is>
          <t>حجز خارج نافذة الإلغاء</t>
        </is>
      </c>
      <c r="E39" s="31" t="inlineStr">
        <is>
          <t>يُمنع وتظهر رسالة السياسة</t>
        </is>
      </c>
      <c r="F39" s="31" t="inlineStr">
        <is>
          <t>WP-S2</t>
        </is>
      </c>
      <c r="G39" s="31" t="inlineStr">
        <is>
          <t>طالب</t>
        </is>
      </c>
      <c r="H39" s="30" t="inlineStr">
        <is>
          <t>لم يُختبر</t>
        </is>
      </c>
      <c r="I39" s="30" t="n"/>
      <c r="J39" s="42" t="n"/>
      <c r="K39" s="30" t="n"/>
    </row>
    <row r="40" ht="42" customHeight="1" s="26">
      <c r="A40" s="41" t="inlineStr">
        <is>
          <t>UAT-036</t>
        </is>
      </c>
      <c r="B40" s="31" t="inlineStr">
        <is>
          <t>FR-S14</t>
        </is>
      </c>
      <c r="C40" s="31" t="inlineStr">
        <is>
          <t>استثناء</t>
        </is>
      </c>
      <c r="D40" s="31" t="inlineStr">
        <is>
          <t>حجز لا يخص الطالب</t>
        </is>
      </c>
      <c r="E40" s="31" t="inlineStr">
        <is>
          <t>رفض الوصول</t>
        </is>
      </c>
      <c r="F40" s="31" t="inlineStr">
        <is>
          <t>WP-S2</t>
        </is>
      </c>
      <c r="G40" s="31" t="inlineStr">
        <is>
          <t>طالب</t>
        </is>
      </c>
      <c r="H40" s="30" t="inlineStr">
        <is>
          <t>لم يُختبر</t>
        </is>
      </c>
      <c r="I40" s="30" t="n"/>
      <c r="J40" s="42" t="n"/>
      <c r="K40" s="30" t="n"/>
    </row>
    <row r="41" ht="42" customHeight="1" s="26">
      <c r="A41" s="41" t="inlineStr">
        <is>
          <t>UAT-037</t>
        </is>
      </c>
      <c r="B41" s="31" t="inlineStr">
        <is>
          <t>FR-S15</t>
        </is>
      </c>
      <c r="C41" s="31" t="inlineStr">
        <is>
          <t>رئيسي</t>
        </is>
      </c>
      <c r="D41" s="31" t="inlineStr">
        <is>
          <t>طلب إعادة جدولة (تاريخ + وقت + ملاحظة)</t>
        </is>
      </c>
      <c r="E41" s="31" t="inlineStr">
        <is>
          <t>يُسجَّل ويظهر بقائمة طلباتي بحالته</t>
        </is>
      </c>
      <c r="F41" s="31" t="inlineStr">
        <is>
          <t>WP-S3</t>
        </is>
      </c>
      <c r="G41" s="31" t="inlineStr">
        <is>
          <t>طالب</t>
        </is>
      </c>
      <c r="H41" s="30" t="inlineStr">
        <is>
          <t>لم يُختبر</t>
        </is>
      </c>
      <c r="I41" s="30" t="n"/>
      <c r="J41" s="42" t="n"/>
      <c r="K41" s="30" t="n"/>
    </row>
    <row r="42" ht="42" customHeight="1" s="26">
      <c r="A42" s="41" t="inlineStr">
        <is>
          <t>UAT-038</t>
        </is>
      </c>
      <c r="B42" s="31" t="inlineStr">
        <is>
          <t>FR-S15</t>
        </is>
      </c>
      <c r="C42" s="31" t="inlineStr">
        <is>
          <t>بديل</t>
        </is>
      </c>
      <c r="D42" s="31" t="inlineStr">
        <is>
          <t>المعلم يرفض</t>
        </is>
      </c>
      <c r="E42" s="31" t="inlineStr">
        <is>
          <t>الجدول الأصلي لا يتغير وتظهر الحالة «مرفوض»</t>
        </is>
      </c>
      <c r="F42" s="31" t="inlineStr">
        <is>
          <t>WP-S3, WP-T5</t>
        </is>
      </c>
      <c r="G42" s="31" t="inlineStr">
        <is>
          <t>طالب + معلم</t>
        </is>
      </c>
      <c r="H42" s="30" t="inlineStr">
        <is>
          <t>لم يُختبر</t>
        </is>
      </c>
      <c r="I42" s="30" t="n"/>
      <c r="J42" s="42" t="n"/>
      <c r="K42" s="30" t="n"/>
    </row>
    <row r="43" ht="42" customHeight="1" s="26">
      <c r="A43" s="41" t="inlineStr">
        <is>
          <t>UAT-039</t>
        </is>
      </c>
      <c r="B43" s="31" t="inlineStr">
        <is>
          <t>FR-S15</t>
        </is>
      </c>
      <c r="C43" s="31" t="inlineStr">
        <is>
          <t>بديل</t>
        </is>
      </c>
      <c r="D43" s="31" t="inlineStr">
        <is>
          <t>المعلم يوافق</t>
        </is>
      </c>
      <c r="E43" s="31" t="inlineStr">
        <is>
          <t>يُحدَّث الجدول وتظهر الحالة «موافَق»</t>
        </is>
      </c>
      <c r="F43" s="31" t="inlineStr">
        <is>
          <t>WP-T5</t>
        </is>
      </c>
      <c r="G43" s="31" t="inlineStr">
        <is>
          <t>طالب + معلم</t>
        </is>
      </c>
      <c r="H43" s="30" t="inlineStr">
        <is>
          <t>لم يُختبر</t>
        </is>
      </c>
      <c r="I43" s="30" t="n"/>
      <c r="J43" s="42" t="n"/>
      <c r="K43" s="30" t="n"/>
    </row>
    <row r="44" ht="42" customHeight="1" s="26">
      <c r="A44" s="41" t="inlineStr">
        <is>
          <t>UAT-040</t>
        </is>
      </c>
      <c r="B44" s="31" t="inlineStr">
        <is>
          <t>FR-S15</t>
        </is>
      </c>
      <c r="C44" s="31" t="inlineStr">
        <is>
          <t>استثناء</t>
        </is>
      </c>
      <c r="D44" s="31" t="inlineStr">
        <is>
          <t>وقت متعارض/غير متاح</t>
        </is>
      </c>
      <c r="E44" s="31" t="inlineStr">
        <is>
          <t>منع الإرسال ورسالة لطلب وقت آخر</t>
        </is>
      </c>
      <c r="F44" s="31" t="inlineStr">
        <is>
          <t>WP-S3</t>
        </is>
      </c>
      <c r="G44" s="31" t="inlineStr">
        <is>
          <t>طالب</t>
        </is>
      </c>
      <c r="H44" s="30" t="inlineStr">
        <is>
          <t>لم يُختبر</t>
        </is>
      </c>
      <c r="I44" s="30" t="n"/>
      <c r="J44" s="42" t="n"/>
      <c r="K44" s="30" t="n"/>
    </row>
    <row r="45" ht="42" customHeight="1" s="26">
      <c r="A45" s="41" t="inlineStr">
        <is>
          <t>UAT-041</t>
        </is>
      </c>
      <c r="B45" s="31" t="inlineStr">
        <is>
          <t>FR-W03a</t>
        </is>
      </c>
      <c r="C45" s="31" t="inlineStr">
        <is>
          <t>رئيسي</t>
        </is>
      </c>
      <c r="D45" s="31" t="inlineStr">
        <is>
          <t>الحجز بعد قبول المعلم</t>
        </is>
      </c>
      <c r="E45" s="31" t="inlineStr">
        <is>
          <t>بطاقة حالة الدفع تظهر المبلغ والحالة، وحركة الخصم تظهر بسجل المحفظة</t>
        </is>
      </c>
      <c r="F45" s="31" t="inlineStr">
        <is>
          <t>WP-W1</t>
        </is>
      </c>
      <c r="G45" s="31" t="inlineStr">
        <is>
          <t>طالب</t>
        </is>
      </c>
      <c r="H45" s="30" t="inlineStr">
        <is>
          <t>لم يُختبر</t>
        </is>
      </c>
      <c r="I45" s="30" t="n"/>
      <c r="J45" s="42" t="n"/>
      <c r="K45" s="30" t="n"/>
    </row>
    <row r="46" ht="42" customHeight="1" s="26">
      <c r="A46" s="41" t="inlineStr">
        <is>
          <t>UAT-042</t>
        </is>
      </c>
      <c r="B46" s="31" t="inlineStr">
        <is>
          <t>FR-W03a</t>
        </is>
      </c>
      <c r="C46" s="31" t="inlineStr">
        <is>
          <t>استثناء</t>
        </is>
      </c>
      <c r="D46" s="31" t="inlineStr">
        <is>
          <t>رصيد غير كافٍ</t>
        </is>
      </c>
      <c r="E46" s="31" t="inlineStr">
        <is>
          <t>يظهر تنبيه الرصيد مع رابط شحن المحفظة</t>
        </is>
      </c>
      <c r="F46" s="31" t="inlineStr">
        <is>
          <t>WP-W1</t>
        </is>
      </c>
      <c r="G46" s="31" t="inlineStr">
        <is>
          <t>طالب</t>
        </is>
      </c>
      <c r="H46" s="30" t="inlineStr">
        <is>
          <t>لم يُختبر</t>
        </is>
      </c>
      <c r="I46" s="30" t="n"/>
      <c r="J46" s="42" t="n"/>
      <c r="K46" s="30" t="n"/>
    </row>
    <row r="47" ht="42" customHeight="1" s="26">
      <c r="A47" s="41" t="inlineStr">
        <is>
          <t>UAT-043</t>
        </is>
      </c>
      <c r="B47" s="31" t="inlineStr">
        <is>
          <t>FR-W03b</t>
        </is>
      </c>
      <c r="C47" s="31" t="inlineStr">
        <is>
          <t>رئيسي</t>
        </is>
      </c>
      <c r="D47" s="31" t="inlineStr">
        <is>
          <t>إيداع أرباح بعد قبول/خصم ناجح</t>
        </is>
      </c>
      <c r="E47" s="31" t="inlineStr">
        <is>
          <t>يظهر كحركة «إيداع أرباح» بسجل/أرباح المعلم</t>
        </is>
      </c>
      <c r="F47" s="31" t="inlineStr">
        <is>
          <t>WP-W2</t>
        </is>
      </c>
      <c r="G47" s="31" t="inlineStr">
        <is>
          <t>معلم</t>
        </is>
      </c>
      <c r="H47" s="30" t="inlineStr">
        <is>
          <t>لم يُختبر</t>
        </is>
      </c>
      <c r="I47" s="30" t="n"/>
      <c r="J47" s="42" t="n"/>
      <c r="K47" s="30" t="n"/>
    </row>
    <row r="48" ht="42" customHeight="1" s="26">
      <c r="A48" s="41" t="inlineStr">
        <is>
          <t>UAT-044</t>
        </is>
      </c>
      <c r="B48" s="31" t="inlineStr">
        <is>
          <t>FR-W03b</t>
        </is>
      </c>
      <c r="C48" s="31" t="inlineStr">
        <is>
          <t>رئيسي</t>
        </is>
      </c>
      <c r="D48" s="31" t="inlineStr">
        <is>
          <t>نص العمولة</t>
        </is>
      </c>
      <c r="E48" s="31" t="inlineStr">
        <is>
          <t>يوضّح أن المودَع صافي بعد العمولة بدون أرقام غير موثّقة</t>
        </is>
      </c>
      <c r="F48" s="31" t="inlineStr">
        <is>
          <t>WP-W2</t>
        </is>
      </c>
      <c r="G48" s="31" t="inlineStr">
        <is>
          <t>معلم</t>
        </is>
      </c>
      <c r="H48" s="30" t="inlineStr">
        <is>
          <t>لم يُختبر</t>
        </is>
      </c>
      <c r="I48" s="30" t="n"/>
      <c r="J48" s="42" t="n"/>
      <c r="K48" s="30" t="n"/>
    </row>
    <row r="49" ht="42" customHeight="1" s="26">
      <c r="A49" s="41" t="inlineStr">
        <is>
          <t>UAT-045</t>
        </is>
      </c>
      <c r="B49" s="31" t="inlineStr">
        <is>
          <t>FR-S06</t>
        </is>
      </c>
      <c r="C49" s="31" t="inlineStr">
        <is>
          <t>رئيسي</t>
        </is>
      </c>
      <c r="D49" s="31" t="inlineStr">
        <is>
          <t>فتح درس حضوري من الجدول</t>
        </is>
      </c>
      <c r="E49" s="31" t="inlineStr">
        <is>
          <t>رقم، موضوع، تاريخ، يوم، وقت، مدة، معلم، كورس/مجموعة، قاعة</t>
        </is>
      </c>
      <c r="F49" s="31" t="inlineStr">
        <is>
          <t>WP-S5</t>
        </is>
      </c>
      <c r="G49" s="31" t="inlineStr">
        <is>
          <t>طالب</t>
        </is>
      </c>
      <c r="H49" s="30" t="inlineStr">
        <is>
          <t>لم يُختبر</t>
        </is>
      </c>
      <c r="I49" s="30" t="n"/>
      <c r="J49" s="42" t="n"/>
      <c r="K49" s="30" t="n"/>
    </row>
    <row r="50" ht="42" customHeight="1" s="26">
      <c r="A50" s="41" t="inlineStr">
        <is>
          <t>UAT-046</t>
        </is>
      </c>
      <c r="B50" s="31" t="inlineStr">
        <is>
          <t>FR-S06</t>
        </is>
      </c>
      <c r="C50" s="31" t="inlineStr">
        <is>
          <t>بديل</t>
        </is>
      </c>
      <c r="D50" s="31" t="inlineStr">
        <is>
          <t>القاعة غير محددة</t>
        </is>
      </c>
      <c r="E50" s="31" t="inlineStr">
        <is>
          <t>تظهر «الموقع غير متوفر»</t>
        </is>
      </c>
      <c r="F50" s="31" t="inlineStr">
        <is>
          <t>WP-S5</t>
        </is>
      </c>
      <c r="G50" s="31" t="inlineStr">
        <is>
          <t>طالب</t>
        </is>
      </c>
      <c r="H50" s="30" t="inlineStr">
        <is>
          <t>لم يُختبر</t>
        </is>
      </c>
      <c r="I50" s="30" t="n"/>
      <c r="J50" s="42" t="n"/>
      <c r="K50" s="30" t="n"/>
    </row>
    <row r="51" ht="42" customHeight="1" s="26">
      <c r="A51" s="41" t="inlineStr">
        <is>
          <t>UAT-047</t>
        </is>
      </c>
      <c r="B51" s="31" t="inlineStr">
        <is>
          <t>FR-S06</t>
        </is>
      </c>
      <c r="C51" s="31" t="inlineStr">
        <is>
          <t>استثناء</t>
        </is>
      </c>
      <c r="D51" s="31" t="inlineStr">
        <is>
          <t>درس لا يخص الطالب</t>
        </is>
      </c>
      <c r="E51" s="31" t="inlineStr">
        <is>
          <t>رفض الوصول</t>
        </is>
      </c>
      <c r="F51" s="31" t="inlineStr">
        <is>
          <t>WP-S5</t>
        </is>
      </c>
      <c r="G51" s="31" t="inlineStr">
        <is>
          <t>طالب</t>
        </is>
      </c>
      <c r="H51" s="30" t="inlineStr">
        <is>
          <t>لم يُختبر</t>
        </is>
      </c>
      <c r="I51" s="30" t="n"/>
      <c r="J51" s="42" t="n"/>
      <c r="K51" s="30" t="n"/>
    </row>
    <row r="52" ht="42" customHeight="1" s="26">
      <c r="A52" s="41" t="inlineStr">
        <is>
          <t>UAT-048</t>
        </is>
      </c>
      <c r="B52" s="31" t="inlineStr">
        <is>
          <t>FR-S07</t>
        </is>
      </c>
      <c r="C52" s="31" t="inlineStr">
        <is>
          <t>رئيسي</t>
        </is>
      </c>
      <c r="D52" s="31" t="inlineStr">
        <is>
          <t>فتح درس أونلاين</t>
        </is>
      </c>
      <c r="E52" s="31" t="inlineStr">
        <is>
          <t>المنصة + الرابط + زر انضمام إن canJoin</t>
        </is>
      </c>
      <c r="F52" s="31" t="inlineStr">
        <is>
          <t>WP-S5</t>
        </is>
      </c>
      <c r="G52" s="31" t="inlineStr">
        <is>
          <t>طالب</t>
        </is>
      </c>
      <c r="H52" s="30" t="inlineStr">
        <is>
          <t>لم يُختبر</t>
        </is>
      </c>
      <c r="I52" s="30" t="n"/>
      <c r="J52" s="42" t="n"/>
      <c r="K52" s="30" t="n"/>
    </row>
    <row r="53" ht="42" customHeight="1" s="26">
      <c r="A53" s="41" t="inlineStr">
        <is>
          <t>UAT-049</t>
        </is>
      </c>
      <c r="B53" s="31" t="inlineStr">
        <is>
          <t>FR-S07</t>
        </is>
      </c>
      <c r="C53" s="31" t="inlineStr">
        <is>
          <t>بديل</t>
        </is>
      </c>
      <c r="D53" s="31" t="inlineStr">
        <is>
          <t>لا توجد معلومات اجتماع</t>
        </is>
      </c>
      <c r="E53" s="31" t="inlineStr">
        <is>
          <t>تفاصيل بدون زر انضمام</t>
        </is>
      </c>
      <c r="F53" s="31" t="inlineStr">
        <is>
          <t>WP-S5</t>
        </is>
      </c>
      <c r="G53" s="31" t="inlineStr">
        <is>
          <t>طالب</t>
        </is>
      </c>
      <c r="H53" s="30" t="inlineStr">
        <is>
          <t>لم يُختبر</t>
        </is>
      </c>
      <c r="I53" s="30" t="n"/>
      <c r="J53" s="42" t="n"/>
      <c r="K53" s="30" t="n"/>
    </row>
    <row r="54" ht="42" customHeight="1" s="26">
      <c r="A54" s="41" t="inlineStr">
        <is>
          <t>UAT-050</t>
        </is>
      </c>
      <c r="B54" s="31" t="inlineStr">
        <is>
          <t>FR-S07</t>
        </is>
      </c>
      <c r="C54" s="31" t="inlineStr">
        <is>
          <t>استثناء</t>
        </is>
      </c>
      <c r="D54" s="31" t="inlineStr">
        <is>
          <t>رابط غير http/https</t>
        </is>
      </c>
      <c r="E54" s="31" t="inlineStr">
        <is>
          <t>لا يُعرض كرابط قابل للنقر</t>
        </is>
      </c>
      <c r="F54" s="31" t="inlineStr">
        <is>
          <t>WP-S5</t>
        </is>
      </c>
      <c r="G54" s="31" t="inlineStr">
        <is>
          <t>طالب</t>
        </is>
      </c>
      <c r="H54" s="30" t="inlineStr">
        <is>
          <t>لم يُختبر</t>
        </is>
      </c>
      <c r="I54" s="30" t="n"/>
      <c r="J54" s="42" t="n"/>
      <c r="K54" s="30" t="n"/>
    </row>
    <row r="55" ht="42" customHeight="1" s="26">
      <c r="A55" s="41" t="inlineStr">
        <is>
          <t>UAT-051</t>
        </is>
      </c>
      <c r="B55" s="31" t="inlineStr">
        <is>
          <t>FR-S08</t>
        </is>
      </c>
      <c r="C55" s="31" t="inlineStr">
        <is>
          <t>رئيسي</t>
        </is>
      </c>
      <c r="D55" s="31" t="inlineStr">
        <is>
          <t>فتح كورس مسجَّل</t>
        </is>
      </c>
      <c r="E55" s="31" t="inlineStr">
        <is>
          <t>معلومات الكورس + المجموعة + جدول الدروس</t>
        </is>
      </c>
      <c r="F55" s="31" t="inlineStr">
        <is>
          <t>WP-S6</t>
        </is>
      </c>
      <c r="G55" s="31" t="inlineStr">
        <is>
          <t>طالب</t>
        </is>
      </c>
      <c r="H55" s="30" t="inlineStr">
        <is>
          <t>لم يُختبر</t>
        </is>
      </c>
      <c r="I55" s="30" t="n"/>
      <c r="J55" s="42" t="n"/>
      <c r="K55" s="30" t="n"/>
    </row>
    <row r="56" ht="42" customHeight="1" s="26">
      <c r="A56" s="41" t="inlineStr">
        <is>
          <t>UAT-052</t>
        </is>
      </c>
      <c r="B56" s="31" t="inlineStr">
        <is>
          <t>FR-S08</t>
        </is>
      </c>
      <c r="C56" s="31" t="inlineStr">
        <is>
          <t>بديل</t>
        </is>
      </c>
      <c r="D56" s="31" t="inlineStr">
        <is>
          <t>كورس بلا دروس</t>
        </is>
      </c>
      <c r="E56" s="31" t="inlineStr">
        <is>
          <t>معلومات الكورس + رسالة فراغ</t>
        </is>
      </c>
      <c r="F56" s="31" t="inlineStr">
        <is>
          <t>WP-S6</t>
        </is>
      </c>
      <c r="G56" s="31" t="inlineStr">
        <is>
          <t>طالب</t>
        </is>
      </c>
      <c r="H56" s="30" t="inlineStr">
        <is>
          <t>لم يُختبر</t>
        </is>
      </c>
      <c r="I56" s="30" t="n"/>
      <c r="J56" s="42" t="n"/>
      <c r="K56" s="30" t="n"/>
    </row>
    <row r="57" ht="42" customHeight="1" s="26">
      <c r="A57" s="41" t="inlineStr">
        <is>
          <t>UAT-053</t>
        </is>
      </c>
      <c r="B57" s="31" t="inlineStr">
        <is>
          <t>FR-S08</t>
        </is>
      </c>
      <c r="C57" s="31" t="inlineStr">
        <is>
          <t>استثناء</t>
        </is>
      </c>
      <c r="D57" s="31" t="inlineStr">
        <is>
          <t>كورس غير مسجَّل فيه</t>
        </is>
      </c>
      <c r="E57" s="31" t="inlineStr">
        <is>
          <t>رفض الوصول</t>
        </is>
      </c>
      <c r="F57" s="31" t="inlineStr">
        <is>
          <t>WP-S6</t>
        </is>
      </c>
      <c r="G57" s="31" t="inlineStr">
        <is>
          <t>طالب</t>
        </is>
      </c>
      <c r="H57" s="30" t="inlineStr">
        <is>
          <t>لم يُختبر</t>
        </is>
      </c>
      <c r="I57" s="30" t="n"/>
      <c r="J57" s="42" t="n"/>
      <c r="K57" s="30" t="n"/>
    </row>
    <row r="58" ht="42" customHeight="1" s="26">
      <c r="A58" s="41" t="inlineStr">
        <is>
          <t>UAT-054</t>
        </is>
      </c>
      <c r="B58" s="31" t="inlineStr">
        <is>
          <t>FR-I01</t>
        </is>
      </c>
      <c r="C58" s="31" t="inlineStr">
        <is>
          <t>رئيسي</t>
        </is>
      </c>
      <c r="D58" s="31" t="inlineStr">
        <is>
          <t>إنشاء كورس حضوري (اسم، مادة، وصف، سعة، مجموعة)</t>
        </is>
      </c>
      <c r="E58" s="31" t="inlineStr">
        <is>
          <t>يُنشأ ويظهر بقائمة كورساتي</t>
        </is>
      </c>
      <c r="F58" s="31" t="inlineStr">
        <is>
          <t>WP-T1</t>
        </is>
      </c>
      <c r="G58" s="31" t="inlineStr">
        <is>
          <t>معلم</t>
        </is>
      </c>
      <c r="H58" s="30" t="inlineStr">
        <is>
          <t>لم يُختبر</t>
        </is>
      </c>
      <c r="I58" s="30" t="n"/>
      <c r="J58" s="42" t="n"/>
      <c r="K58" s="30" t="n"/>
    </row>
    <row r="59" ht="42" customHeight="1" s="26">
      <c r="A59" s="41" t="inlineStr">
        <is>
          <t>UAT-055</t>
        </is>
      </c>
      <c r="B59" s="31" t="inlineStr">
        <is>
          <t>FR-I01</t>
        </is>
      </c>
      <c r="C59" s="31" t="inlineStr">
        <is>
          <t>بديل</t>
        </is>
      </c>
      <c r="D59" s="31" t="inlineStr">
        <is>
          <t>حفظ كمسودة</t>
        </is>
      </c>
      <c r="E59" s="31" t="inlineStr">
        <is>
          <t>يظهر بحالة مسودة</t>
        </is>
      </c>
      <c r="F59" s="31" t="inlineStr">
        <is>
          <t>WP-T1</t>
        </is>
      </c>
      <c r="G59" s="31" t="inlineStr">
        <is>
          <t>معلم</t>
        </is>
      </c>
      <c r="H59" s="30" t="inlineStr">
        <is>
          <t>لم يُختبر</t>
        </is>
      </c>
      <c r="I59" s="30" t="n"/>
      <c r="J59" s="42" t="n"/>
      <c r="K59" s="30" t="n"/>
    </row>
    <row r="60" ht="42" customHeight="1" s="26">
      <c r="A60" s="41" t="inlineStr">
        <is>
          <t>UAT-056</t>
        </is>
      </c>
      <c r="B60" s="31" t="inlineStr">
        <is>
          <t>FR-I01</t>
        </is>
      </c>
      <c r="C60" s="31" t="inlineStr">
        <is>
          <t>استثناء</t>
        </is>
      </c>
      <c r="D60" s="31" t="inlineStr">
        <is>
          <t>بيانات ناقصة</t>
        </is>
      </c>
      <c r="E60" s="31" t="inlineStr">
        <is>
          <t>رسائل تحقق ولا يُنشأ</t>
        </is>
      </c>
      <c r="F60" s="31" t="inlineStr">
        <is>
          <t>WP-T1</t>
        </is>
      </c>
      <c r="G60" s="31" t="inlineStr">
        <is>
          <t>معلم</t>
        </is>
      </c>
      <c r="H60" s="30" t="inlineStr">
        <is>
          <t>لم يُختبر</t>
        </is>
      </c>
      <c r="I60" s="30" t="n"/>
      <c r="J60" s="42" t="n"/>
      <c r="K60" s="30" t="n"/>
    </row>
    <row r="61" ht="42" customHeight="1" s="26">
      <c r="A61" s="41" t="inlineStr">
        <is>
          <t>UAT-057</t>
        </is>
      </c>
      <c r="B61" s="31" t="inlineStr">
        <is>
          <t>FR-I05</t>
        </is>
      </c>
      <c r="C61" s="31" t="inlineStr">
        <is>
          <t>رئيسي</t>
        </is>
      </c>
      <c r="D61" s="31" t="inlineStr">
        <is>
          <t>إنشاء كورس أونلاين</t>
        </is>
      </c>
      <c r="E61" s="31" t="inlineStr">
        <is>
          <t>يُنشأ ويظهر بقائمة كورساتي</t>
        </is>
      </c>
      <c r="F61" s="31" t="inlineStr">
        <is>
          <t>WP-T1</t>
        </is>
      </c>
      <c r="G61" s="31" t="inlineStr">
        <is>
          <t>معلم</t>
        </is>
      </c>
      <c r="H61" s="30" t="inlineStr">
        <is>
          <t>لم يُختبر</t>
        </is>
      </c>
      <c r="I61" s="30" t="n"/>
      <c r="J61" s="42" t="n"/>
      <c r="K61" s="30" t="n"/>
    </row>
    <row r="62" ht="42" customHeight="1" s="26">
      <c r="A62" s="41" t="inlineStr">
        <is>
          <t>UAT-058</t>
        </is>
      </c>
      <c r="B62" s="31" t="inlineStr">
        <is>
          <t>FR-I07</t>
        </is>
      </c>
      <c r="C62" s="31" t="inlineStr">
        <is>
          <t>رئيسي</t>
        </is>
      </c>
      <c r="D62" s="31" t="inlineStr">
        <is>
          <t>تعديل منصة/رابط الاجتماع لدرس أونلاين</t>
        </is>
      </c>
      <c r="E62" s="31" t="inlineStr">
        <is>
          <t>يُحفظ ويظهر للطالب</t>
        </is>
      </c>
      <c r="F62" s="31" t="inlineStr">
        <is>
          <t>WP-T4</t>
        </is>
      </c>
      <c r="G62" s="31" t="inlineStr">
        <is>
          <t>معلم</t>
        </is>
      </c>
      <c r="H62" s="30" t="inlineStr">
        <is>
          <t>لم يُختبر</t>
        </is>
      </c>
      <c r="I62" s="30" t="n"/>
      <c r="J62" s="42" t="n"/>
      <c r="K62" s="30" t="n"/>
    </row>
    <row r="63" ht="42" customHeight="1" s="26">
      <c r="A63" s="41" t="inlineStr">
        <is>
          <t>UAT-059</t>
        </is>
      </c>
      <c r="B63" s="31" t="inlineStr">
        <is>
          <t>FR-I09</t>
        </is>
      </c>
      <c r="C63" s="31" t="inlineStr">
        <is>
          <t>رئيسي</t>
        </is>
      </c>
      <c r="D63" s="31" t="inlineStr">
        <is>
          <t>فتح جدول الكورس</t>
        </is>
      </c>
      <c r="E63" s="31" t="inlineStr">
        <is>
          <t>كل الدروس مرتبة زمنيًا مع بياناتها</t>
        </is>
      </c>
      <c r="F63" s="31" t="inlineStr">
        <is>
          <t>WP-T4</t>
        </is>
      </c>
      <c r="G63" s="31" t="inlineStr">
        <is>
          <t>معلم</t>
        </is>
      </c>
      <c r="H63" s="30" t="inlineStr">
        <is>
          <t>لم يُختبر</t>
        </is>
      </c>
      <c r="I63" s="30" t="n"/>
      <c r="J63" s="42" t="n"/>
      <c r="K63" s="30" t="n"/>
    </row>
    <row r="64" ht="42" customHeight="1" s="26">
      <c r="A64" s="41" t="inlineStr">
        <is>
          <t>UAT-060</t>
        </is>
      </c>
      <c r="B64" s="31" t="inlineStr">
        <is>
          <t>FR-I09</t>
        </is>
      </c>
      <c r="C64" s="31" t="inlineStr">
        <is>
          <t>استثناء</t>
        </is>
      </c>
      <c r="D64" s="31" t="inlineStr">
        <is>
          <t>لا دروس</t>
        </is>
      </c>
      <c r="E64" s="31" t="inlineStr">
        <is>
          <t>رسالة فراغ</t>
        </is>
      </c>
      <c r="F64" s="31" t="inlineStr">
        <is>
          <t>WP-T4</t>
        </is>
      </c>
      <c r="G64" s="31" t="inlineStr">
        <is>
          <t>معلم</t>
        </is>
      </c>
      <c r="H64" s="30" t="inlineStr">
        <is>
          <t>لم يُختبر</t>
        </is>
      </c>
      <c r="I64" s="30" t="n"/>
      <c r="J64" s="42" t="n"/>
      <c r="K64" s="30" t="n"/>
    </row>
    <row r="65" ht="42" customHeight="1" s="26">
      <c r="A65" s="41" t="inlineStr">
        <is>
          <t>UAT-061</t>
        </is>
      </c>
      <c r="B65" s="31" t="inlineStr">
        <is>
          <t>FR-I10</t>
        </is>
      </c>
      <c r="C65" s="31" t="inlineStr">
        <is>
          <t>رئيسي</t>
        </is>
      </c>
      <c r="D65" s="31" t="inlineStr">
        <is>
          <t>تعديل تاريخ/وقت/مدة/موضوع/اجتماع قبل بدء الدرس</t>
        </is>
      </c>
      <c r="E65" s="31" t="inlineStr">
        <is>
          <t>يُحفظ بعد فحص التعارض</t>
        </is>
      </c>
      <c r="F65" s="31" t="inlineStr">
        <is>
          <t>WP-T4</t>
        </is>
      </c>
      <c r="G65" s="31" t="inlineStr">
        <is>
          <t>معلم</t>
        </is>
      </c>
      <c r="H65" s="30" t="inlineStr">
        <is>
          <t>لم يُختبر</t>
        </is>
      </c>
      <c r="I65" s="30" t="n"/>
      <c r="J65" s="42" t="n"/>
      <c r="K65" s="30" t="n"/>
    </row>
    <row r="66" ht="42" customHeight="1" s="26">
      <c r="A66" s="41" t="inlineStr">
        <is>
          <t>UAT-062</t>
        </is>
      </c>
      <c r="B66" s="31" t="inlineStr">
        <is>
          <t>FR-I11</t>
        </is>
      </c>
      <c r="C66" s="31" t="inlineStr">
        <is>
          <t>رئيسي</t>
        </is>
      </c>
      <c r="D66" s="31" t="inlineStr">
        <is>
          <t>إلغاء درس قبل موعده بسبب</t>
        </is>
      </c>
      <c r="E66" s="31" t="inlineStr">
        <is>
          <t>تصبح الحالة ملغى ويبقى السجل ويتحدّث جدول الطالب</t>
        </is>
      </c>
      <c r="F66" s="31" t="inlineStr">
        <is>
          <t>WP-T4</t>
        </is>
      </c>
      <c r="G66" s="31" t="inlineStr">
        <is>
          <t>معلم + طالب</t>
        </is>
      </c>
      <c r="H66" s="30" t="inlineStr">
        <is>
          <t>لم يُختبر</t>
        </is>
      </c>
      <c r="I66" s="30" t="n"/>
      <c r="J66" s="42" t="n"/>
      <c r="K66" s="30" t="n"/>
    </row>
    <row r="67" ht="42" customHeight="1" s="26">
      <c r="A67" s="41" t="inlineStr">
        <is>
          <t>UAT-063</t>
        </is>
      </c>
      <c r="B67" s="31" t="inlineStr">
        <is>
          <t>FR-T10</t>
        </is>
      </c>
      <c r="C67" s="31" t="inlineStr">
        <is>
          <t>رئيسي</t>
        </is>
      </c>
      <c r="D67" s="31" t="inlineStr">
        <is>
          <t>فتح طلبات الحجز وقبول/رفض طلب</t>
        </is>
      </c>
      <c r="E67" s="31" t="inlineStr">
        <is>
          <t>تتغير الحالة ويرى الطالب القرار</t>
        </is>
      </c>
      <c r="F67" s="31" t="inlineStr">
        <is>
          <t>WP-T5</t>
        </is>
      </c>
      <c r="G67" s="31" t="inlineStr">
        <is>
          <t>معلم + طالب</t>
        </is>
      </c>
      <c r="H67" s="30" t="inlineStr">
        <is>
          <t>لم يُختبر</t>
        </is>
      </c>
      <c r="I67" s="30" t="n"/>
      <c r="J67" s="42" t="n"/>
      <c r="K67" s="30" t="n"/>
    </row>
    <row r="68" ht="42" customHeight="1" s="26">
      <c r="A68" s="41" t="inlineStr">
        <is>
          <t>UAT-064</t>
        </is>
      </c>
      <c r="B68" s="31" t="inlineStr">
        <is>
          <t>FR-T10</t>
        </is>
      </c>
      <c r="C68" s="31" t="inlineStr">
        <is>
          <t>بديل</t>
        </is>
      </c>
      <c r="D68" s="31" t="inlineStr">
        <is>
          <t>رفض بسبب</t>
        </is>
      </c>
      <c r="E68" s="31" t="inlineStr">
        <is>
          <t>السبب يظهر للطالب</t>
        </is>
      </c>
      <c r="F68" s="31" t="inlineStr">
        <is>
          <t>WP-T5</t>
        </is>
      </c>
      <c r="G68" s="31" t="inlineStr">
        <is>
          <t>معلم + طالب</t>
        </is>
      </c>
      <c r="H68" s="30" t="inlineStr">
        <is>
          <t>لم يُختبر</t>
        </is>
      </c>
      <c r="I68" s="30" t="n"/>
      <c r="J68" s="42" t="n"/>
      <c r="K68" s="30" t="n"/>
    </row>
  </sheetData>
  <autoFilter ref="A4:K68"/>
  <conditionalFormatting sqref="H5:H300">
    <cfRule type="cellIs" rank="0" priority="2" equalAverage="0" operator="equal" aboveAverage="0" dxfId="1" text="" percent="0" bottom="0">
      <formula>"نجح"</formula>
    </cfRule>
    <cfRule type="cellIs" rank="0" priority="3" equalAverage="0" operator="equal" aboveAverage="0" dxfId="0" text="" percent="0" bottom="0">
      <formula>"فشل"</formula>
    </cfRule>
  </conditionalFormatting>
  <dataValidations count="1">
    <dataValidation sqref="H5:H300" showDropDown="0" showInputMessage="0" showErrorMessage="1" allowBlank="1" errorTitle="قيمة غير مسموحة" error="اختر من القائمة" type="list" errorStyle="stop" operator="between">
      <formula1>Lists!$G$2:$G$4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C000"/>
    <outlinePr summaryBelow="1" summaryRight="1"/>
    <pageSetUpPr fitToPage="0"/>
  </sheetPr>
  <dimension ref="A1:H104"/>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25" min="1" max="1"/>
    <col width="62" customWidth="1" style="25" min="2" max="2"/>
    <col width="18" customWidth="1" style="25" min="3" max="3"/>
    <col width="14" customWidth="1" style="25" min="4" max="4"/>
    <col width="16" customWidth="1" style="25" min="5" max="5"/>
    <col width="12" customWidth="1" style="25" min="6" max="6"/>
    <col width="14" customWidth="1" style="25" min="7" max="7"/>
    <col width="60" customWidth="1" style="25" min="8" max="8"/>
  </cols>
  <sheetData>
    <row r="1" ht="42" customHeight="1" s="26">
      <c r="A1" s="27" t="inlineStr">
        <is>
          <t>ملكية الملفات (منع التعارض)</t>
        </is>
      </c>
      <c r="B1" s="28" t="n"/>
      <c r="C1" s="28" t="n"/>
      <c r="D1" s="28" t="n"/>
      <c r="E1" s="28" t="n"/>
      <c r="F1" s="28" t="n"/>
      <c r="G1" s="28" t="n"/>
      <c r="H1" s="28" t="n"/>
    </row>
    <row r="2" ht="42" customHeight="1" s="26">
      <c r="A2" s="32" t="inlineStr">
        <is>
          <t>كل مسار مالك واحد فقط. عمود «فحص التعارض» يكشف أي مسار مكرر. أضف أي ملف جديد هنا قبل البدء بكتابته.</t>
        </is>
      </c>
      <c r="B2" s="28" t="n"/>
      <c r="C2" s="28" t="n"/>
      <c r="D2" s="28" t="n"/>
      <c r="E2" s="28" t="n"/>
      <c r="F2" s="28" t="n"/>
      <c r="G2" s="28" t="n"/>
      <c r="H2" s="28" t="n"/>
    </row>
    <row r="3" ht="42" customHeight="1" s="26">
      <c r="A3" s="28" t="n"/>
      <c r="B3" s="28" t="n"/>
      <c r="C3" s="28" t="n"/>
      <c r="D3" s="28" t="n"/>
      <c r="E3" s="28" t="n"/>
      <c r="F3" s="28" t="n"/>
      <c r="G3" s="28" t="n"/>
      <c r="H3" s="28" t="n"/>
    </row>
    <row r="4" ht="42" customHeight="1" s="26">
      <c r="A4" s="40" t="inlineStr">
        <is>
          <t>#</t>
        </is>
      </c>
      <c r="B4" s="40" t="inlineStr">
        <is>
          <t>المسار</t>
        </is>
      </c>
      <c r="C4" s="40" t="inlineStr">
        <is>
          <t>المالك</t>
        </is>
      </c>
      <c r="D4" s="40" t="inlineStr">
        <is>
          <t>الإجراء</t>
        </is>
      </c>
      <c r="E4" s="40" t="inlineStr">
        <is>
          <t>Stub أنشأه</t>
        </is>
      </c>
      <c r="F4" s="40" t="inlineStr">
        <is>
          <t>الخطورة</t>
        </is>
      </c>
      <c r="G4" s="40" t="inlineStr">
        <is>
          <t>فحص التعارض</t>
        </is>
      </c>
      <c r="H4" s="40" t="inlineStr">
        <is>
          <t>ملاحظة</t>
        </is>
      </c>
    </row>
    <row r="5" ht="42" customHeight="1" s="26">
      <c r="A5" s="31" t="n">
        <v>1</v>
      </c>
      <c r="B5" s="31" t="inlineStr">
        <is>
          <t>src/integrations/backend/bookings.ts</t>
        </is>
      </c>
      <c r="C5" s="31" t="inlineStr">
        <is>
          <t>WP-00</t>
        </is>
      </c>
      <c r="D5" s="31" t="inlineStr">
        <is>
          <t>تعديل</t>
        </is>
      </c>
      <c r="E5" s="31" t="inlineStr">
        <is>
          <t>—</t>
        </is>
      </c>
      <c r="F5" s="31" t="inlineStr">
        <is>
          <t>عالٍ</t>
        </is>
      </c>
      <c r="G5" s="43">
        <f>IF(COUNTIF($B$5:$B$300,B5)&gt;1,"⚠ مكرر","✔")</f>
        <v/>
      </c>
      <c r="H5" s="31" t="inlineStr">
        <is>
          <t>بعد WP-00 مجمّد. من يحتاج دالة جديدة يضعها في ملف ext/ الخاص به ويطلب CR.</t>
        </is>
      </c>
    </row>
    <row r="6" ht="42" customHeight="1" s="26">
      <c r="A6" s="31" t="n">
        <v>2</v>
      </c>
      <c r="B6" s="31" t="inlineStr">
        <is>
          <t>src/integrations/backend/lessons.ts</t>
        </is>
      </c>
      <c r="C6" s="31" t="inlineStr">
        <is>
          <t>WP-00</t>
        </is>
      </c>
      <c r="D6" s="31" t="inlineStr">
        <is>
          <t>تعديل</t>
        </is>
      </c>
      <c r="E6" s="31" t="inlineStr">
        <is>
          <t>—</t>
        </is>
      </c>
      <c r="F6" s="31" t="inlineStr">
        <is>
          <t>عالٍ</t>
        </is>
      </c>
      <c r="G6" s="43">
        <f>IF(COUNTIF($B$5:$B$300,B6)&gt;1,"⚠ مكرر","✔")</f>
        <v/>
      </c>
      <c r="H6" s="31" t="inlineStr">
        <is>
          <t>مجمّد بعد WP-00</t>
        </is>
      </c>
    </row>
    <row r="7" ht="42" customHeight="1" s="26">
      <c r="A7" s="31" t="n">
        <v>3</v>
      </c>
      <c r="B7" s="31" t="inlineStr">
        <is>
          <t>src/integrations/backend/courses.ts</t>
        </is>
      </c>
      <c r="C7" s="31" t="inlineStr">
        <is>
          <t>WP-00</t>
        </is>
      </c>
      <c r="D7" s="31" t="inlineStr">
        <is>
          <t>تعديل</t>
        </is>
      </c>
      <c r="E7" s="31" t="inlineStr">
        <is>
          <t>—</t>
        </is>
      </c>
      <c r="F7" s="31" t="inlineStr">
        <is>
          <t>عالٍ</t>
        </is>
      </c>
      <c r="G7" s="43">
        <f>IF(COUNTIF($B$5:$B$300,B7)&gt;1,"⚠ مكرر","✔")</f>
        <v/>
      </c>
      <c r="H7" s="31" t="inlineStr">
        <is>
          <t>مجمّد بعد WP-00</t>
        </is>
      </c>
    </row>
    <row r="8" ht="42" customHeight="1" s="26">
      <c r="A8" s="31" t="n">
        <v>4</v>
      </c>
      <c r="B8" s="31" t="inlineStr">
        <is>
          <t>src/integrations/backend/student.ts</t>
        </is>
      </c>
      <c r="C8" s="31" t="inlineStr">
        <is>
          <t>WP-00</t>
        </is>
      </c>
      <c r="D8" s="31" t="inlineStr">
        <is>
          <t>تعديل</t>
        </is>
      </c>
      <c r="E8" s="31" t="inlineStr">
        <is>
          <t>—</t>
        </is>
      </c>
      <c r="F8" s="31" t="inlineStr">
        <is>
          <t>عالٍ</t>
        </is>
      </c>
      <c r="G8" s="43">
        <f>IF(COUNTIF($B$5:$B$300,B8)&gt;1,"⚠ مكرر","✔")</f>
        <v/>
      </c>
      <c r="H8" s="31" t="inlineStr">
        <is>
          <t>مجمّد بعد WP-00</t>
        </is>
      </c>
    </row>
    <row r="9" ht="42" customHeight="1" s="26">
      <c r="A9" s="31" t="n">
        <v>5</v>
      </c>
      <c r="B9" s="31" t="inlineStr">
        <is>
          <t>src/integrations/backend/op-result.ts</t>
        </is>
      </c>
      <c r="C9" s="31" t="inlineStr">
        <is>
          <t>WP-00</t>
        </is>
      </c>
      <c r="D9" s="31" t="inlineStr">
        <is>
          <t>إنشاء</t>
        </is>
      </c>
      <c r="E9" s="31" t="inlineStr">
        <is>
          <t>—</t>
        </is>
      </c>
      <c r="F9" s="31" t="inlineStr">
        <is>
          <t>متوسط</t>
        </is>
      </c>
      <c r="G9" s="43">
        <f>IF(COUNTIF($B$5:$B$300,B9)&gt;1,"⚠ مكرر","✔")</f>
        <v/>
      </c>
      <c r="H9" s="31" t="inlineStr">
        <is>
          <t>مجمّد بعد WP-00</t>
        </is>
      </c>
    </row>
    <row r="10" ht="42" customHeight="1" s="26">
      <c r="A10" s="31" t="n">
        <v>6</v>
      </c>
      <c r="B10" s="31" t="inlineStr">
        <is>
          <t>src/integrations/backend/bookings.test.ts</t>
        </is>
      </c>
      <c r="C10" s="31" t="inlineStr">
        <is>
          <t>WP-00</t>
        </is>
      </c>
      <c r="D10" s="31" t="inlineStr">
        <is>
          <t>إنشاء</t>
        </is>
      </c>
      <c r="E10" s="31" t="inlineStr">
        <is>
          <t>—</t>
        </is>
      </c>
      <c r="F10" s="31" t="inlineStr">
        <is>
          <t>منخفض</t>
        </is>
      </c>
      <c r="G10" s="43">
        <f>IF(COUNTIF($B$5:$B$300,B10)&gt;1,"⚠ مكرر","✔")</f>
        <v/>
      </c>
      <c r="H10" s="31" t="n"/>
    </row>
    <row r="11" ht="42" customHeight="1" s="26">
      <c r="A11" s="31" t="n">
        <v>7</v>
      </c>
      <c r="B11" s="31" t="inlineStr">
        <is>
          <t>src/integrations/backend/lessons.test.ts</t>
        </is>
      </c>
      <c r="C11" s="31" t="inlineStr">
        <is>
          <t>WP-00</t>
        </is>
      </c>
      <c r="D11" s="31" t="inlineStr">
        <is>
          <t>إنشاء</t>
        </is>
      </c>
      <c r="E11" s="31" t="inlineStr">
        <is>
          <t>—</t>
        </is>
      </c>
      <c r="F11" s="31" t="inlineStr">
        <is>
          <t>منخفض</t>
        </is>
      </c>
      <c r="G11" s="43">
        <f>IF(COUNTIF($B$5:$B$300,B11)&gt;1,"⚠ مكرر","✔")</f>
        <v/>
      </c>
      <c r="H11" s="31" t="n"/>
    </row>
    <row r="12" ht="42" customHeight="1" s="26">
      <c r="A12" s="31" t="n">
        <v>8</v>
      </c>
      <c r="B12" s="31" t="inlineStr">
        <is>
          <t>src/integrations/backend/student.test.ts</t>
        </is>
      </c>
      <c r="C12" s="31" t="inlineStr">
        <is>
          <t>WP-00</t>
        </is>
      </c>
      <c r="D12" s="31" t="inlineStr">
        <is>
          <t>إنشاء</t>
        </is>
      </c>
      <c r="E12" s="31" t="inlineStr">
        <is>
          <t>—</t>
        </is>
      </c>
      <c r="F12" s="31" t="inlineStr">
        <is>
          <t>منخفض</t>
        </is>
      </c>
      <c r="G12" s="43">
        <f>IF(COUNTIF($B$5:$B$300,B12)&gt;1,"⚠ مكرر","✔")</f>
        <v/>
      </c>
      <c r="H12" s="31" t="n"/>
    </row>
    <row r="13" ht="42" customHeight="1" s="26">
      <c r="A13" s="31" t="n">
        <v>9</v>
      </c>
      <c r="B13" s="31" t="inlineStr">
        <is>
          <t>src/integrations/backend/courses.test.ts</t>
        </is>
      </c>
      <c r="C13" s="31" t="inlineStr">
        <is>
          <t>WP-00</t>
        </is>
      </c>
      <c r="D13" s="31" t="inlineStr">
        <is>
          <t>تعديل</t>
        </is>
      </c>
      <c r="E13" s="31" t="inlineStr">
        <is>
          <t>—</t>
        </is>
      </c>
      <c r="F13" s="31" t="inlineStr">
        <is>
          <t>منخفض</t>
        </is>
      </c>
      <c r="G13" s="43">
        <f>IF(COUNTIF($B$5:$B$300,B13)&gt;1,"⚠ مكرر","✔")</f>
        <v/>
      </c>
      <c r="H13" s="31" t="n"/>
    </row>
    <row r="14" ht="42" customHeight="1" s="26">
      <c r="A14" s="31" t="n">
        <v>10</v>
      </c>
      <c r="B14" s="31" t="inlineStr">
        <is>
          <t>src/lib/enums.ts</t>
        </is>
      </c>
      <c r="C14" s="31" t="inlineStr">
        <is>
          <t>WP-00</t>
        </is>
      </c>
      <c r="D14" s="31" t="inlineStr">
        <is>
          <t>إنشاء</t>
        </is>
      </c>
      <c r="E14" s="31" t="inlineStr">
        <is>
          <t>—</t>
        </is>
      </c>
      <c r="F14" s="31" t="inlineStr">
        <is>
          <t>متوسط</t>
        </is>
      </c>
      <c r="G14" s="43">
        <f>IF(COUNTIF($B$5:$B$300,B14)&gt;1,"⚠ مكرر","✔")</f>
        <v/>
      </c>
      <c r="H14" s="31" t="inlineStr">
        <is>
          <t>مجمّد بعد WP-00</t>
        </is>
      </c>
    </row>
    <row r="15" ht="42" customHeight="1" s="26">
      <c r="A15" s="31" t="n">
        <v>11</v>
      </c>
      <c r="B15" s="31" t="inlineStr">
        <is>
          <t>src/lib/format.ts</t>
        </is>
      </c>
      <c r="C15" s="31" t="inlineStr">
        <is>
          <t>WP-00</t>
        </is>
      </c>
      <c r="D15" s="31" t="inlineStr">
        <is>
          <t>إنشاء</t>
        </is>
      </c>
      <c r="E15" s="31" t="inlineStr">
        <is>
          <t>—</t>
        </is>
      </c>
      <c r="F15" s="31" t="inlineStr">
        <is>
          <t>متوسط</t>
        </is>
      </c>
      <c r="G15" s="43">
        <f>IF(COUNTIF($B$5:$B$300,B15)&gt;1,"⚠ مكرر","✔")</f>
        <v/>
      </c>
      <c r="H15" s="31" t="inlineStr">
        <is>
          <t>مجمّد بعد WP-00</t>
        </is>
      </c>
    </row>
    <row r="16" ht="42" customHeight="1" s="26">
      <c r="A16" s="31" t="n">
        <v>12</v>
      </c>
      <c r="B16" s="31" t="inlineStr">
        <is>
          <t>src/lib/format.test.ts</t>
        </is>
      </c>
      <c r="C16" s="31" t="inlineStr">
        <is>
          <t>WP-00</t>
        </is>
      </c>
      <c r="D16" s="31" t="inlineStr">
        <is>
          <t>إنشاء</t>
        </is>
      </c>
      <c r="E16" s="31" t="inlineStr">
        <is>
          <t>—</t>
        </is>
      </c>
      <c r="F16" s="31" t="inlineStr">
        <is>
          <t>منخفض</t>
        </is>
      </c>
      <c r="G16" s="43">
        <f>IF(COUNTIF($B$5:$B$300,B16)&gt;1,"⚠ مكرر","✔")</f>
        <v/>
      </c>
      <c r="H16" s="31" t="n"/>
    </row>
    <row r="17" ht="42" customHeight="1" s="26">
      <c r="A17" s="31" t="n">
        <v>13</v>
      </c>
      <c r="B17" s="31" t="inlineStr">
        <is>
          <t>src/lib/query-keys.ts</t>
        </is>
      </c>
      <c r="C17" s="31" t="inlineStr">
        <is>
          <t>WP-00</t>
        </is>
      </c>
      <c r="D17" s="31" t="inlineStr">
        <is>
          <t>إنشاء</t>
        </is>
      </c>
      <c r="E17" s="31" t="inlineStr">
        <is>
          <t>—</t>
        </is>
      </c>
      <c r="F17" s="31" t="inlineStr">
        <is>
          <t>متوسط</t>
        </is>
      </c>
      <c r="G17" s="43">
        <f>IF(COUNTIF($B$5:$B$300,B17)&gt;1,"⚠ مكرر","✔")</f>
        <v/>
      </c>
      <c r="H17" s="31" t="inlineStr">
        <is>
          <t>أُضيف إليه qk.teacherEarningsCredits() من WP-W2 قبل إغلاق WP-00 (بلا CR). كل مفاتيح react-query الجديدة من هنا فقط</t>
        </is>
      </c>
    </row>
    <row r="18" ht="42" customHeight="1" s="26">
      <c r="A18" s="31" t="n">
        <v>14</v>
      </c>
      <c r="B18" s="31" t="inlineStr">
        <is>
          <t>src/lib/booking-rules.ts</t>
        </is>
      </c>
      <c r="C18" s="31" t="inlineStr">
        <is>
          <t>WP-00</t>
        </is>
      </c>
      <c r="D18" s="31" t="inlineStr">
        <is>
          <t>إنشاء</t>
        </is>
      </c>
      <c r="E18" s="31" t="inlineStr">
        <is>
          <t>—</t>
        </is>
      </c>
      <c r="F18" s="31" t="inlineStr">
        <is>
          <t>متوسط</t>
        </is>
      </c>
      <c r="G18" s="43">
        <f>IF(COUNTIF($B$5:$B$300,B18)&gt;1,"⚠ مكرر","✔")</f>
        <v/>
      </c>
      <c r="H18" s="31" t="n"/>
    </row>
    <row r="19" ht="42" customHeight="1" s="26">
      <c r="A19" s="31" t="n">
        <v>15</v>
      </c>
      <c r="B19" s="31" t="inlineStr">
        <is>
          <t>src/lib/booking-rules.test.ts</t>
        </is>
      </c>
      <c r="C19" s="31" t="inlineStr">
        <is>
          <t>WP-00</t>
        </is>
      </c>
      <c r="D19" s="31" t="inlineStr">
        <is>
          <t>إنشاء</t>
        </is>
      </c>
      <c r="E19" s="31" t="inlineStr">
        <is>
          <t>—</t>
        </is>
      </c>
      <c r="F19" s="31" t="inlineStr">
        <is>
          <t>منخفض</t>
        </is>
      </c>
      <c r="G19" s="43">
        <f>IF(COUNTIF($B$5:$B$300,B19)&gt;1,"⚠ مكرر","✔")</f>
        <v/>
      </c>
      <c r="H19" s="31" t="n"/>
    </row>
    <row r="20" ht="42" customHeight="1" s="26">
      <c r="A20" s="31" t="n">
        <v>16</v>
      </c>
      <c r="B20" s="31" t="inlineStr">
        <is>
          <t>src/components/app/booking-status-badge.tsx</t>
        </is>
      </c>
      <c r="C20" s="31" t="inlineStr">
        <is>
          <t>WP-00</t>
        </is>
      </c>
      <c r="D20" s="31" t="inlineStr">
        <is>
          <t>إنشاء</t>
        </is>
      </c>
      <c r="E20" s="31" t="inlineStr">
        <is>
          <t>—</t>
        </is>
      </c>
      <c r="F20" s="31" t="inlineStr">
        <is>
          <t>منخفض</t>
        </is>
      </c>
      <c r="G20" s="43">
        <f>IF(COUNTIF($B$5:$B$300,B20)&gt;1,"⚠ مكرر","✔")</f>
        <v/>
      </c>
      <c r="H20" s="31" t="n"/>
    </row>
    <row r="21" ht="42" customHeight="1" s="26">
      <c r="A21" s="31" t="n">
        <v>17</v>
      </c>
      <c r="B21" s="31" t="inlineStr">
        <is>
          <t>src/components/ui/star-rating.tsx</t>
        </is>
      </c>
      <c r="C21" s="31" t="inlineStr">
        <is>
          <t>WP-00</t>
        </is>
      </c>
      <c r="D21" s="31" t="inlineStr">
        <is>
          <t>إنشاء</t>
        </is>
      </c>
      <c r="E21" s="31" t="inlineStr">
        <is>
          <t>—</t>
        </is>
      </c>
      <c r="F21" s="31" t="inlineStr">
        <is>
          <t>منخفض</t>
        </is>
      </c>
      <c r="G21" s="43">
        <f>IF(COUNTIF($B$5:$B$300,B21)&gt;1,"⚠ مكرر","✔")</f>
        <v/>
      </c>
      <c r="H21" s="31" t="n"/>
    </row>
    <row r="22" ht="42" customHeight="1" s="26">
      <c r="A22" s="31" t="n">
        <v>18</v>
      </c>
      <c r="B22" s="31" t="inlineStr">
        <is>
          <t>src/components/ui/segmented-tabs.tsx</t>
        </is>
      </c>
      <c r="C22" s="31" t="inlineStr">
        <is>
          <t>WP-00</t>
        </is>
      </c>
      <c r="D22" s="31" t="inlineStr">
        <is>
          <t>إنشاء</t>
        </is>
      </c>
      <c r="E22" s="31" t="inlineStr">
        <is>
          <t>—</t>
        </is>
      </c>
      <c r="F22" s="31" t="inlineStr">
        <is>
          <t>منخفض</t>
        </is>
      </c>
      <c r="G22" s="43">
        <f>IF(COUNTIF($B$5:$B$300,B22)&gt;1,"⚠ مكرر","✔")</f>
        <v/>
      </c>
      <c r="H22" s="31" t="n"/>
    </row>
    <row r="23" ht="42" customHeight="1" s="26">
      <c r="A23" s="31" t="n">
        <v>19</v>
      </c>
      <c r="B23" s="31" t="inlineStr">
        <is>
          <t>src/components/app/confirm-dialog.tsx</t>
        </is>
      </c>
      <c r="C23" s="31" t="inlineStr">
        <is>
          <t>WP-00</t>
        </is>
      </c>
      <c r="D23" s="31" t="inlineStr">
        <is>
          <t>إنشاء</t>
        </is>
      </c>
      <c r="E23" s="31" t="inlineStr">
        <is>
          <t>—</t>
        </is>
      </c>
      <c r="F23" s="31" t="inlineStr">
        <is>
          <t>منخفض</t>
        </is>
      </c>
      <c r="G23" s="43">
        <f>IF(COUNTIF($B$5:$B$300,B23)&gt;1,"⚠ مكرر","✔")</f>
        <v/>
      </c>
      <c r="H23" s="31" t="n"/>
    </row>
    <row r="24" ht="42" customHeight="1" s="26">
      <c r="A24" s="31" t="n">
        <v>20</v>
      </c>
      <c r="B24" s="31" t="inlineStr">
        <is>
          <t>src/lib/rbac-static-data.ts</t>
        </is>
      </c>
      <c r="C24" s="31" t="inlineStr">
        <is>
          <t>WP-00</t>
        </is>
      </c>
      <c r="D24" s="31" t="inlineStr">
        <is>
          <t>تعديل</t>
        </is>
      </c>
      <c r="E24" s="31" t="inlineStr">
        <is>
          <t>—</t>
        </is>
      </c>
      <c r="F24" s="31" t="inlineStr">
        <is>
          <t>عالٍ</t>
        </is>
      </c>
      <c r="G24" s="43">
        <f>IF(COUNTIF($B$5:$B$300,B24)&gt;1,"⚠ مكرر","✔")</f>
        <v/>
      </c>
      <c r="H24" s="31" t="inlineStr">
        <is>
          <t>تسجيل التنقّل مرة واحدة. ممنوع على Wave 1.</t>
        </is>
      </c>
    </row>
    <row r="25" ht="42" customHeight="1" s="26">
      <c r="A25" s="31" t="n">
        <v>21</v>
      </c>
      <c r="B25" s="31" t="inlineStr">
        <is>
          <t>src/routes/_authenticated/my-courses.tsx</t>
        </is>
      </c>
      <c r="C25" s="31" t="inlineStr">
        <is>
          <t>WP-00</t>
        </is>
      </c>
      <c r="D25" s="31" t="inlineStr">
        <is>
          <t>تعديل</t>
        </is>
      </c>
      <c r="E25" s="31" t="inlineStr">
        <is>
          <t>—</t>
        </is>
      </c>
      <c r="F25" s="31" t="inlineStr">
        <is>
          <t>عالٍ</t>
        </is>
      </c>
      <c r="G25" s="43">
        <f>IF(COUNTIF($B$5:$B$300,B25)&gt;1,"⚠ مكرر","✔")</f>
        <v/>
      </c>
      <c r="H25" s="31" t="inlineStr">
        <is>
          <t>يُعاد تركيبه من لوحات ثم يُجمَّد</t>
        </is>
      </c>
    </row>
    <row r="26" ht="42" customHeight="1" s="26">
      <c r="A26" s="31" t="n">
        <v>22</v>
      </c>
      <c r="B26" s="31" t="inlineStr">
        <is>
          <t>src/components/admin/app-sidebar.tsx</t>
        </is>
      </c>
      <c r="C26" s="31" t="inlineStr">
        <is>
          <t>WP-00</t>
        </is>
      </c>
      <c r="D26" s="31" t="inlineStr">
        <is>
          <t>تعديل (اختياري)</t>
        </is>
      </c>
      <c r="E26" s="31" t="inlineStr">
        <is>
          <t>—</t>
        </is>
      </c>
      <c r="F26" s="31" t="inlineStr">
        <is>
          <t>متوسط</t>
        </is>
      </c>
      <c r="G26" s="43">
        <f>IF(COUNTIF($B$5:$B$300,B26)&gt;1,"⚠ مكرر","✔")</f>
        <v/>
      </c>
      <c r="H26" s="31" t="inlineStr">
        <is>
          <t>فقط مهمة 00-19</t>
        </is>
      </c>
    </row>
    <row r="27" ht="42" customHeight="1" s="26">
      <c r="A27" s="31" t="n">
        <v>23</v>
      </c>
      <c r="B27" s="31" t="inlineStr">
        <is>
          <t>src/routeTree.gen.ts</t>
        </is>
      </c>
      <c r="C27" s="31" t="inlineStr">
        <is>
          <t>WP-00 / WP-QA فقط</t>
        </is>
      </c>
      <c r="D27" s="31" t="inlineStr">
        <is>
          <t>تلقائي</t>
        </is>
      </c>
      <c r="E27" s="31" t="inlineStr">
        <is>
          <t>—</t>
        </is>
      </c>
      <c r="F27" s="31" t="inlineStr">
        <is>
          <t>عالٍ جدًا</t>
        </is>
      </c>
      <c r="G27" s="43">
        <f>IF(COUNTIF($B$5:$B$300,B27)&gt;1,"⚠ مكرر","✔")</f>
        <v/>
      </c>
      <c r="H27" s="31" t="inlineStr">
        <is>
          <t>لا تعدّله يدويًا ولا تضعه في PR أي WP آخر. عند التعارض: احذفه وأعد التوليد</t>
        </is>
      </c>
    </row>
    <row r="28" ht="42" customHeight="1" s="26">
      <c r="A28" s="31" t="n">
        <v>24</v>
      </c>
      <c r="B28" s="31" t="inlineStr">
        <is>
          <t>src/routes/_authenticated/teacher.courses.tsx</t>
        </is>
      </c>
      <c r="C28" s="31" t="inlineStr">
        <is>
          <t>WP-T1</t>
        </is>
      </c>
      <c r="D28" s="31" t="inlineStr">
        <is>
          <t>استبدال</t>
        </is>
      </c>
      <c r="E28" s="31" t="inlineStr">
        <is>
          <t>WP-00 (لا يحتاج)</t>
        </is>
      </c>
      <c r="F28" s="31" t="inlineStr">
        <is>
          <t>متوسط</t>
        </is>
      </c>
      <c r="G28" s="43">
        <f>IF(COUNTIF($B$5:$B$300,B28)&gt;1,"⚠ مكرر","✔")</f>
        <v/>
      </c>
      <c r="H28" s="31" t="inlineStr">
        <is>
          <t>موجود حاليًا كـ placeholder</t>
        </is>
      </c>
    </row>
    <row r="29" ht="42" customHeight="1" s="26">
      <c r="A29" s="31" t="n">
        <v>25</v>
      </c>
      <c r="B29" s="31" t="inlineStr">
        <is>
          <t>src/routes/_authenticated/teacher.course.$id.tsx</t>
        </is>
      </c>
      <c r="C29" s="31" t="inlineStr">
        <is>
          <t>WP-T1</t>
        </is>
      </c>
      <c r="D29" s="31" t="inlineStr">
        <is>
          <t>إنشاء</t>
        </is>
      </c>
      <c r="E29" s="31" t="inlineStr">
        <is>
          <t>WP-00</t>
        </is>
      </c>
      <c r="F29" s="31" t="inlineStr">
        <is>
          <t>متوسط</t>
        </is>
      </c>
      <c r="G29" s="43">
        <f>IF(COUNTIF($B$5:$B$300,B29)&gt;1,"⚠ مكرر","✔")</f>
        <v/>
      </c>
      <c r="H29" s="31" t="inlineStr">
        <is>
          <t>Shell بتبويبات؛ يستورد مكونات T2/T3/T4</t>
        </is>
      </c>
    </row>
    <row r="30" ht="42" customHeight="1" s="26">
      <c r="A30" s="31" t="n">
        <v>26</v>
      </c>
      <c r="B30" s="31" t="inlineStr">
        <is>
          <t>src/components/teacher/course-details-tab.tsx</t>
        </is>
      </c>
      <c r="C30" s="31" t="inlineStr">
        <is>
          <t>WP-T1</t>
        </is>
      </c>
      <c r="D30" s="31" t="inlineStr">
        <is>
          <t>إنشاء</t>
        </is>
      </c>
      <c r="E30" s="31" t="inlineStr">
        <is>
          <t>WP-00</t>
        </is>
      </c>
      <c r="F30" s="31" t="inlineStr">
        <is>
          <t>منخفض</t>
        </is>
      </c>
      <c r="G30" s="43">
        <f>IF(COUNTIF($B$5:$B$300,B30)&gt;1,"⚠ مكرر","✔")</f>
        <v/>
      </c>
      <c r="H30" s="31" t="n"/>
    </row>
    <row r="31" ht="42" customHeight="1" s="26">
      <c r="A31" s="31" t="n">
        <v>27</v>
      </c>
      <c r="B31" s="31" t="inlineStr">
        <is>
          <t>src/components/teacher/course-details-tab.test.ts</t>
        </is>
      </c>
      <c r="C31" s="31" t="inlineStr">
        <is>
          <t>WP-T1</t>
        </is>
      </c>
      <c r="D31" s="31" t="inlineStr">
        <is>
          <t>إنشاء</t>
        </is>
      </c>
      <c r="E31" s="31" t="inlineStr">
        <is>
          <t>—</t>
        </is>
      </c>
      <c r="F31" s="31" t="inlineStr">
        <is>
          <t>منخفض</t>
        </is>
      </c>
      <c r="G31" s="43">
        <f>IF(COUNTIF($B$5:$B$300,B31)&gt;1,"⚠ مكرر","✔")</f>
        <v/>
      </c>
      <c r="H31" s="31" t="n"/>
    </row>
    <row r="32" ht="42" customHeight="1" s="26">
      <c r="A32" s="31" t="n">
        <v>28</v>
      </c>
      <c r="B32" s="31" t="inlineStr">
        <is>
          <t>src/components/teacher/group-config-tab.tsx</t>
        </is>
      </c>
      <c r="C32" s="31" t="inlineStr">
        <is>
          <t>WP-T2</t>
        </is>
      </c>
      <c r="D32" s="31" t="inlineStr">
        <is>
          <t>إنشاء</t>
        </is>
      </c>
      <c r="E32" s="31" t="inlineStr">
        <is>
          <t>WP-00</t>
        </is>
      </c>
      <c r="F32" s="31" t="inlineStr">
        <is>
          <t>منخفض</t>
        </is>
      </c>
      <c r="G32" s="43">
        <f>IF(COUNTIF($B$5:$B$300,B32)&gt;1,"⚠ مكرر","✔")</f>
        <v/>
      </c>
      <c r="H32" s="31" t="n"/>
    </row>
    <row r="33" ht="42" customHeight="1" s="26">
      <c r="A33" s="31" t="n">
        <v>29</v>
      </c>
      <c r="B33" s="31" t="inlineStr">
        <is>
          <t>src/components/teacher/group-config-tab.test.ts</t>
        </is>
      </c>
      <c r="C33" s="31" t="inlineStr">
        <is>
          <t>WP-T2</t>
        </is>
      </c>
      <c r="D33" s="31" t="inlineStr">
        <is>
          <t>إنشاء</t>
        </is>
      </c>
      <c r="E33" s="31" t="inlineStr">
        <is>
          <t>—</t>
        </is>
      </c>
      <c r="F33" s="31" t="inlineStr">
        <is>
          <t>منخفض</t>
        </is>
      </c>
      <c r="G33" s="43">
        <f>IF(COUNTIF($B$5:$B$300,B33)&gt;1,"⚠ مكرر","✔")</f>
        <v/>
      </c>
      <c r="H33" s="31" t="n"/>
    </row>
    <row r="34" ht="42" customHeight="1" s="26">
      <c r="A34" s="31" t="n">
        <v>30</v>
      </c>
      <c r="B34" s="31" t="inlineStr">
        <is>
          <t>src/components/teacher/group-students-tab.tsx</t>
        </is>
      </c>
      <c r="C34" s="31" t="inlineStr">
        <is>
          <t>WP-T3</t>
        </is>
      </c>
      <c r="D34" s="31" t="inlineStr">
        <is>
          <t>إنشاء</t>
        </is>
      </c>
      <c r="E34" s="31" t="inlineStr">
        <is>
          <t>WP-00</t>
        </is>
      </c>
      <c r="F34" s="31" t="inlineStr">
        <is>
          <t>منخفض</t>
        </is>
      </c>
      <c r="G34" s="43">
        <f>IF(COUNTIF($B$5:$B$300,B34)&gt;1,"⚠ مكرر","✔")</f>
        <v/>
      </c>
      <c r="H34" s="31" t="n"/>
    </row>
    <row r="35" ht="42" customHeight="1" s="26">
      <c r="A35" s="31" t="n">
        <v>31</v>
      </c>
      <c r="B35" s="31" t="inlineStr">
        <is>
          <t>src/components/teacher/lessons-tab.tsx</t>
        </is>
      </c>
      <c r="C35" s="31" t="inlineStr">
        <is>
          <t>WP-T4</t>
        </is>
      </c>
      <c r="D35" s="31" t="inlineStr">
        <is>
          <t>إنشاء</t>
        </is>
      </c>
      <c r="E35" s="31" t="inlineStr">
        <is>
          <t>WP-00</t>
        </is>
      </c>
      <c r="F35" s="31" t="inlineStr">
        <is>
          <t>منخفض</t>
        </is>
      </c>
      <c r="G35" s="43">
        <f>IF(COUNTIF($B$5:$B$300,B35)&gt;1,"⚠ مكرر","✔")</f>
        <v/>
      </c>
      <c r="H35" s="31" t="n"/>
    </row>
    <row r="36" ht="42" customHeight="1" s="26">
      <c r="A36" s="31" t="n">
        <v>32</v>
      </c>
      <c r="B36" s="31" t="inlineStr">
        <is>
          <t>src/components/teacher/lesson-form-dialog.tsx</t>
        </is>
      </c>
      <c r="C36" s="31" t="inlineStr">
        <is>
          <t>WP-T4</t>
        </is>
      </c>
      <c r="D36" s="31" t="inlineStr">
        <is>
          <t>إنشاء</t>
        </is>
      </c>
      <c r="E36" s="31" t="inlineStr">
        <is>
          <t>WP-00</t>
        </is>
      </c>
      <c r="F36" s="31" t="inlineStr">
        <is>
          <t>منخفض</t>
        </is>
      </c>
      <c r="G36" s="43">
        <f>IF(COUNTIF($B$5:$B$300,B36)&gt;1,"⚠ مكرر","✔")</f>
        <v/>
      </c>
      <c r="H36" s="31" t="n"/>
    </row>
    <row r="37" ht="42" customHeight="1" s="26">
      <c r="A37" s="31" t="n">
        <v>33</v>
      </c>
      <c r="B37" s="31" t="inlineStr">
        <is>
          <t>src/components/teacher/lesson-form-dialog.test.ts</t>
        </is>
      </c>
      <c r="C37" s="31" t="inlineStr">
        <is>
          <t>WP-T4</t>
        </is>
      </c>
      <c r="D37" s="31" t="inlineStr">
        <is>
          <t>إنشاء</t>
        </is>
      </c>
      <c r="E37" s="31" t="inlineStr">
        <is>
          <t>—</t>
        </is>
      </c>
      <c r="F37" s="31" t="inlineStr">
        <is>
          <t>منخفض</t>
        </is>
      </c>
      <c r="G37" s="43">
        <f>IF(COUNTIF($B$5:$B$300,B37)&gt;1,"⚠ مكرر","✔")</f>
        <v/>
      </c>
      <c r="H37" s="31" t="n"/>
    </row>
    <row r="38" ht="42" customHeight="1" s="26">
      <c r="A38" s="31" t="n">
        <v>34</v>
      </c>
      <c r="B38" s="31" t="inlineStr">
        <is>
          <t>src/components/teacher/lesson-cancel-dialog.tsx</t>
        </is>
      </c>
      <c r="C38" s="31" t="inlineStr">
        <is>
          <t>WP-T4</t>
        </is>
      </c>
      <c r="D38" s="31" t="inlineStr">
        <is>
          <t>إنشاء</t>
        </is>
      </c>
      <c r="E38" s="31" t="inlineStr">
        <is>
          <t>WP-00</t>
        </is>
      </c>
      <c r="F38" s="31" t="inlineStr">
        <is>
          <t>منخفض</t>
        </is>
      </c>
      <c r="G38" s="43">
        <f>IF(COUNTIF($B$5:$B$300,B38)&gt;1,"⚠ مكرر","✔")</f>
        <v/>
      </c>
      <c r="H38" s="31" t="n"/>
    </row>
    <row r="39" ht="42" customHeight="1" s="26">
      <c r="A39" s="31" t="n">
        <v>35</v>
      </c>
      <c r="B39" s="31" t="inlineStr">
        <is>
          <t>src/routes/_authenticated/teacher.bookings.tsx</t>
        </is>
      </c>
      <c r="C39" s="31" t="inlineStr">
        <is>
          <t>WP-T5</t>
        </is>
      </c>
      <c r="D39" s="31" t="inlineStr">
        <is>
          <t>إنشاء</t>
        </is>
      </c>
      <c r="E39" s="31" t="inlineStr">
        <is>
          <t>WP-00</t>
        </is>
      </c>
      <c r="F39" s="31" t="inlineStr">
        <is>
          <t>منخفض</t>
        </is>
      </c>
      <c r="G39" s="43">
        <f>IF(COUNTIF($B$5:$B$300,B39)&gt;1,"⚠ مكرر","✔")</f>
        <v/>
      </c>
      <c r="H39" s="31" t="n"/>
    </row>
    <row r="40" ht="42" customHeight="1" s="26">
      <c r="A40" s="31" t="n">
        <v>36</v>
      </c>
      <c r="B40" s="31" t="inlineStr">
        <is>
          <t>src/routes/_authenticated/teacher.dashboard.tsx</t>
        </is>
      </c>
      <c r="C40" s="31" t="inlineStr">
        <is>
          <t>WP-T5</t>
        </is>
      </c>
      <c r="D40" s="31" t="inlineStr">
        <is>
          <t>تعديل</t>
        </is>
      </c>
      <c r="E40" s="31" t="inlineStr">
        <is>
          <t>—</t>
        </is>
      </c>
      <c r="F40" s="31" t="inlineStr">
        <is>
          <t>منخفض</t>
        </is>
      </c>
      <c r="G40" s="43">
        <f>IF(COUNTIF($B$5:$B$300,B40)&gt;1,"⚠ مكرر","✔")</f>
        <v/>
      </c>
      <c r="H40" s="31" t="inlineStr">
        <is>
          <t>استبدال اللوحة المعطّلة فقط</t>
        </is>
      </c>
    </row>
    <row r="41" ht="42" customHeight="1" s="26">
      <c r="A41" s="31" t="n">
        <v>37</v>
      </c>
      <c r="B41" s="31" t="inlineStr">
        <is>
          <t>src/routes/_authenticated/book.$teacherId.tsx</t>
        </is>
      </c>
      <c r="C41" s="31" t="inlineStr">
        <is>
          <t>WP-S1</t>
        </is>
      </c>
      <c r="D41" s="31" t="inlineStr">
        <is>
          <t>إنشاء</t>
        </is>
      </c>
      <c r="E41" s="31" t="inlineStr">
        <is>
          <t>WP-00</t>
        </is>
      </c>
      <c r="F41" s="31" t="inlineStr">
        <is>
          <t>متوسط</t>
        </is>
      </c>
      <c r="G41" s="43">
        <f>IF(COUNTIF($B$5:$B$300,B41)&gt;1,"⚠ مكرر","✔")</f>
        <v/>
      </c>
      <c r="H41" s="31" t="n"/>
    </row>
    <row r="42" ht="42" customHeight="1" s="26">
      <c r="A42" s="31" t="n">
        <v>38</v>
      </c>
      <c r="B42" s="31" t="inlineStr">
        <is>
          <t>src/routes/teacher.$id.tsx</t>
        </is>
      </c>
      <c r="C42" s="31" t="inlineStr">
        <is>
          <t>WP-S1</t>
        </is>
      </c>
      <c r="D42" s="31" t="inlineStr">
        <is>
          <t>تعديل</t>
        </is>
      </c>
      <c r="E42" s="31" t="inlineStr">
        <is>
          <t>—</t>
        </is>
      </c>
      <c r="F42" s="31" t="inlineStr">
        <is>
          <t>متوسط</t>
        </is>
      </c>
      <c r="G42" s="43">
        <f>IF(COUNTIF($B$5:$B$300,B42)&gt;1,"⚠ مكرر","✔")</f>
        <v/>
      </c>
      <c r="H42" s="31" t="inlineStr">
        <is>
          <t>صفحة عامة؛ زر الحجز فقط</t>
        </is>
      </c>
    </row>
    <row r="43" ht="42" customHeight="1" s="26">
      <c r="A43" s="31" t="n">
        <v>39</v>
      </c>
      <c r="B43" s="31" t="inlineStr">
        <is>
          <t>src/components/student/booking-slot-picker.tsx</t>
        </is>
      </c>
      <c r="C43" s="31" t="inlineStr">
        <is>
          <t>WP-S1</t>
        </is>
      </c>
      <c r="D43" s="31" t="inlineStr">
        <is>
          <t>إنشاء</t>
        </is>
      </c>
      <c r="E43" s="31" t="inlineStr">
        <is>
          <t>WP-00</t>
        </is>
      </c>
      <c r="F43" s="31" t="inlineStr">
        <is>
          <t>منخفض</t>
        </is>
      </c>
      <c r="G43" s="43">
        <f>IF(COUNTIF($B$5:$B$300,B43)&gt;1,"⚠ مكرر","✔")</f>
        <v/>
      </c>
      <c r="H43" s="31" t="n"/>
    </row>
    <row r="44" ht="42" customHeight="1" s="26">
      <c r="A44" s="31" t="n">
        <v>40</v>
      </c>
      <c r="B44" s="31" t="inlineStr">
        <is>
          <t>src/components/student/booking-slot-picker.test.ts</t>
        </is>
      </c>
      <c r="C44" s="31" t="inlineStr">
        <is>
          <t>WP-S1</t>
        </is>
      </c>
      <c r="D44" s="31" t="inlineStr">
        <is>
          <t>إنشاء</t>
        </is>
      </c>
      <c r="E44" s="31" t="inlineStr">
        <is>
          <t>—</t>
        </is>
      </c>
      <c r="F44" s="31" t="inlineStr">
        <is>
          <t>منخفض</t>
        </is>
      </c>
      <c r="G44" s="43">
        <f>IF(COUNTIF($B$5:$B$300,B44)&gt;1,"⚠ مكرر","✔")</f>
        <v/>
      </c>
      <c r="H44" s="31" t="n"/>
    </row>
    <row r="45" ht="42" customHeight="1" s="26">
      <c r="A45" s="31" t="n">
        <v>41</v>
      </c>
      <c r="B45" s="31" t="inlineStr">
        <is>
          <t>src/routes/_authenticated/booking.$id.tsx</t>
        </is>
      </c>
      <c r="C45" s="31" t="inlineStr">
        <is>
          <t>WP-S2</t>
        </is>
      </c>
      <c r="D45" s="31" t="inlineStr">
        <is>
          <t>إنشاء</t>
        </is>
      </c>
      <c r="E45" s="31" t="inlineStr">
        <is>
          <t>WP-00</t>
        </is>
      </c>
      <c r="F45" s="31" t="inlineStr">
        <is>
          <t>متوسط</t>
        </is>
      </c>
      <c r="G45" s="43">
        <f>IF(COUNTIF($B$5:$B$300,B45)&gt;1,"⚠ مكرر","✔")</f>
        <v/>
      </c>
      <c r="H45" s="31" t="inlineStr">
        <is>
          <t>يستورد مكونات W1/S3/S4</t>
        </is>
      </c>
    </row>
    <row r="46" ht="42" customHeight="1" s="26">
      <c r="A46" s="31" t="n">
        <v>42</v>
      </c>
      <c r="B46" s="31" t="inlineStr">
        <is>
          <t>src/components/student/cancel-booking-dialog.tsx</t>
        </is>
      </c>
      <c r="C46" s="31" t="inlineStr">
        <is>
          <t>WP-S2</t>
        </is>
      </c>
      <c r="D46" s="31" t="inlineStr">
        <is>
          <t>إنشاء</t>
        </is>
      </c>
      <c r="E46" s="31" t="inlineStr">
        <is>
          <t>WP-00</t>
        </is>
      </c>
      <c r="F46" s="31" t="inlineStr">
        <is>
          <t>منخفض</t>
        </is>
      </c>
      <c r="G46" s="43">
        <f>IF(COUNTIF($B$5:$B$300,B46)&gt;1,"⚠ مكرر","✔")</f>
        <v/>
      </c>
      <c r="H46" s="31" t="n"/>
    </row>
    <row r="47" ht="42" customHeight="1" s="26">
      <c r="A47" s="31" t="n">
        <v>43</v>
      </c>
      <c r="B47" s="31" t="inlineStr">
        <is>
          <t>src/components/student/my-courses/confirmed-bookings-panel.tsx</t>
        </is>
      </c>
      <c r="C47" s="31" t="inlineStr">
        <is>
          <t>WP-S2</t>
        </is>
      </c>
      <c r="D47" s="31" t="inlineStr">
        <is>
          <t>إنشاء</t>
        </is>
      </c>
      <c r="E47" s="31" t="inlineStr">
        <is>
          <t>WP-00</t>
        </is>
      </c>
      <c r="F47" s="31" t="inlineStr">
        <is>
          <t>منخفض</t>
        </is>
      </c>
      <c r="G47" s="43">
        <f>IF(COUNTIF($B$5:$B$300,B47)&gt;1,"⚠ مكرر","✔")</f>
        <v/>
      </c>
      <c r="H47" s="31" t="n"/>
    </row>
    <row r="48" ht="42" customHeight="1" s="26">
      <c r="A48" s="31" t="n">
        <v>44</v>
      </c>
      <c r="B48" s="31" t="inlineStr">
        <is>
          <t>src/components/student/my-courses/pending-requests-panel.tsx</t>
        </is>
      </c>
      <c r="C48" s="31" t="inlineStr">
        <is>
          <t>WP-S2</t>
        </is>
      </c>
      <c r="D48" s="31" t="inlineStr">
        <is>
          <t>إنشاء</t>
        </is>
      </c>
      <c r="E48" s="31" t="inlineStr">
        <is>
          <t>WP-00</t>
        </is>
      </c>
      <c r="F48" s="31" t="inlineStr">
        <is>
          <t>منخفض</t>
        </is>
      </c>
      <c r="G48" s="43">
        <f>IF(COUNTIF($B$5:$B$300,B48)&gt;1,"⚠ مكرر","✔")</f>
        <v/>
      </c>
      <c r="H48" s="31" t="n"/>
    </row>
    <row r="49" ht="42" customHeight="1" s="26">
      <c r="A49" s="31" t="n">
        <v>45</v>
      </c>
      <c r="B49" s="31" t="inlineStr">
        <is>
          <t>src/components/student/reschedule-dialog.tsx</t>
        </is>
      </c>
      <c r="C49" s="31" t="inlineStr">
        <is>
          <t>WP-S3</t>
        </is>
      </c>
      <c r="D49" s="31" t="inlineStr">
        <is>
          <t>إنشاء</t>
        </is>
      </c>
      <c r="E49" s="31" t="inlineStr">
        <is>
          <t>WP-00</t>
        </is>
      </c>
      <c r="F49" s="31" t="inlineStr">
        <is>
          <t>منخفض</t>
        </is>
      </c>
      <c r="G49" s="43">
        <f>IF(COUNTIF($B$5:$B$300,B49)&gt;1,"⚠ مكرر","✔")</f>
        <v/>
      </c>
      <c r="H49" s="31" t="n"/>
    </row>
    <row r="50" ht="42" customHeight="1" s="26">
      <c r="A50" s="31" t="n">
        <v>46</v>
      </c>
      <c r="B50" s="31" t="inlineStr">
        <is>
          <t>src/components/student/reschedule-dialog.test.ts</t>
        </is>
      </c>
      <c r="C50" s="31" t="inlineStr">
        <is>
          <t>WP-S3</t>
        </is>
      </c>
      <c r="D50" s="31" t="inlineStr">
        <is>
          <t>إنشاء</t>
        </is>
      </c>
      <c r="E50" s="31" t="inlineStr">
        <is>
          <t>—</t>
        </is>
      </c>
      <c r="F50" s="31" t="inlineStr">
        <is>
          <t>منخفض</t>
        </is>
      </c>
      <c r="G50" s="43">
        <f>IF(COUNTIF($B$5:$B$300,B50)&gt;1,"⚠ مكرر","✔")</f>
        <v/>
      </c>
      <c r="H50" s="31" t="n"/>
    </row>
    <row r="51" ht="42" customHeight="1" s="26">
      <c r="A51" s="31" t="n">
        <v>47</v>
      </c>
      <c r="B51" s="31" t="inlineStr">
        <is>
          <t>src/components/student/my-courses/reschedule-requests-panel.tsx</t>
        </is>
      </c>
      <c r="C51" s="31" t="inlineStr">
        <is>
          <t>WP-S3</t>
        </is>
      </c>
      <c r="D51" s="31" t="inlineStr">
        <is>
          <t>إنشاء</t>
        </is>
      </c>
      <c r="E51" s="31" t="inlineStr">
        <is>
          <t>WP-00</t>
        </is>
      </c>
      <c r="F51" s="31" t="inlineStr">
        <is>
          <t>منخفض</t>
        </is>
      </c>
      <c r="G51" s="43">
        <f>IF(COUNTIF($B$5:$B$300,B51)&gt;1,"⚠ مكرر","✔")</f>
        <v/>
      </c>
      <c r="H51" s="31" t="n"/>
    </row>
    <row r="52" ht="42" customHeight="1" s="26">
      <c r="A52" s="31" t="n">
        <v>48</v>
      </c>
      <c r="B52" s="31" t="inlineStr">
        <is>
          <t>src/components/student/rate-booking-dialog.tsx</t>
        </is>
      </c>
      <c r="C52" s="31" t="inlineStr">
        <is>
          <t>WP-S4</t>
        </is>
      </c>
      <c r="D52" s="31" t="inlineStr">
        <is>
          <t>إنشاء</t>
        </is>
      </c>
      <c r="E52" s="31" t="inlineStr">
        <is>
          <t>WP-00</t>
        </is>
      </c>
      <c r="F52" s="31" t="inlineStr">
        <is>
          <t>منخفض</t>
        </is>
      </c>
      <c r="G52" s="43">
        <f>IF(COUNTIF($B$5:$B$300,B52)&gt;1,"⚠ مكرر","✔")</f>
        <v/>
      </c>
      <c r="H52" s="31" t="n"/>
    </row>
    <row r="53" ht="42" customHeight="1" s="26">
      <c r="A53" s="31" t="n">
        <v>49</v>
      </c>
      <c r="B53" s="31" t="inlineStr">
        <is>
          <t>src/components/student/rate-booking-dialog.test.ts</t>
        </is>
      </c>
      <c r="C53" s="31" t="inlineStr">
        <is>
          <t>WP-S4</t>
        </is>
      </c>
      <c r="D53" s="31" t="inlineStr">
        <is>
          <t>إنشاء</t>
        </is>
      </c>
      <c r="E53" s="31" t="inlineStr">
        <is>
          <t>—</t>
        </is>
      </c>
      <c r="F53" s="31" t="inlineStr">
        <is>
          <t>منخفض</t>
        </is>
      </c>
      <c r="G53" s="43">
        <f>IF(COUNTIF($B$5:$B$300,B53)&gt;1,"⚠ مكرر","✔")</f>
        <v/>
      </c>
      <c r="H53" s="31" t="n"/>
    </row>
    <row r="54" ht="42" customHeight="1" s="26">
      <c r="A54" s="31" t="n">
        <v>50</v>
      </c>
      <c r="B54" s="31" t="inlineStr">
        <is>
          <t>src/routes/_authenticated/lesson.$id.tsx</t>
        </is>
      </c>
      <c r="C54" s="31" t="inlineStr">
        <is>
          <t>WP-S5</t>
        </is>
      </c>
      <c r="D54" s="31" t="inlineStr">
        <is>
          <t>إنشاء</t>
        </is>
      </c>
      <c r="E54" s="31" t="inlineStr">
        <is>
          <t>WP-00</t>
        </is>
      </c>
      <c r="F54" s="31" t="inlineStr">
        <is>
          <t>منخفض</t>
        </is>
      </c>
      <c r="G54" s="43">
        <f>IF(COUNTIF($B$5:$B$300,B54)&gt;1,"⚠ مكرر","✔")</f>
        <v/>
      </c>
      <c r="H54" s="31" t="n"/>
    </row>
    <row r="55" ht="42" customHeight="1" s="26">
      <c r="A55" s="31" t="n">
        <v>51</v>
      </c>
      <c r="B55" s="31" t="inlineStr">
        <is>
          <t>src/test-units/lesson.$id.test.ts</t>
        </is>
      </c>
      <c r="C55" s="31" t="inlineStr">
        <is>
          <t>WP-S5</t>
        </is>
      </c>
      <c r="D55" s="31" t="inlineStr">
        <is>
          <t>إنشاء</t>
        </is>
      </c>
      <c r="E55" s="31" t="inlineStr">
        <is>
          <t>—</t>
        </is>
      </c>
      <c r="F55" s="31" t="inlineStr">
        <is>
          <t>منخفض</t>
        </is>
      </c>
      <c r="G55" s="43">
        <f>IF(COUNTIF($B$5:$B$300,B55)&gt;1,"⚠ مكرر","✔")</f>
        <v/>
      </c>
      <c r="H55" s="31" t="n"/>
    </row>
    <row r="56" ht="42" customHeight="1" s="26">
      <c r="A56" s="31" t="n">
        <v>52</v>
      </c>
      <c r="B56" s="31" t="inlineStr">
        <is>
          <t>src/routes/_authenticated/schedule.tsx</t>
        </is>
      </c>
      <c r="C56" s="31" t="inlineStr">
        <is>
          <t>WP-S5</t>
        </is>
      </c>
      <c r="D56" s="31" t="inlineStr">
        <is>
          <t>تعديل</t>
        </is>
      </c>
      <c r="E56" s="31" t="inlineStr">
        <is>
          <t>—</t>
        </is>
      </c>
      <c r="F56" s="31" t="inlineStr">
        <is>
          <t>متوسط</t>
        </is>
      </c>
      <c r="G56" s="43">
        <f>IF(COUNTIF($B$5:$B$300,B56)&gt;1,"⚠ مكرر","✔")</f>
        <v/>
      </c>
      <c r="H56" s="31" t="n"/>
    </row>
    <row r="57" ht="42" customHeight="1" s="26">
      <c r="A57" s="31" t="n">
        <v>53</v>
      </c>
      <c r="B57" s="31" t="inlineStr">
        <is>
          <t>src/routes/_authenticated/enrolled-course.$id.tsx</t>
        </is>
      </c>
      <c r="C57" s="31" t="inlineStr">
        <is>
          <t>WP-S6</t>
        </is>
      </c>
      <c r="D57" s="31" t="inlineStr">
        <is>
          <t>إنشاء</t>
        </is>
      </c>
      <c r="E57" s="31" t="inlineStr">
        <is>
          <t>WP-00</t>
        </is>
      </c>
      <c r="F57" s="31" t="inlineStr">
        <is>
          <t>منخفض</t>
        </is>
      </c>
      <c r="G57" s="43">
        <f>IF(COUNTIF($B$5:$B$300,B57)&gt;1,"⚠ مكرر","✔")</f>
        <v/>
      </c>
      <c r="H57" s="31" t="n"/>
    </row>
    <row r="58" ht="42" customHeight="1" s="26">
      <c r="A58" s="31" t="n">
        <v>54</v>
      </c>
      <c r="B58" s="31" t="inlineStr">
        <is>
          <t>src/test-units/enrolled-course.$id.test.ts</t>
        </is>
      </c>
      <c r="C58" s="31" t="inlineStr">
        <is>
          <t>WP-S6</t>
        </is>
      </c>
      <c r="D58" s="31" t="inlineStr">
        <is>
          <t>إنشاء</t>
        </is>
      </c>
      <c r="E58" s="31" t="inlineStr">
        <is>
          <t>—</t>
        </is>
      </c>
      <c r="F58" s="31" t="inlineStr">
        <is>
          <t>منخفض</t>
        </is>
      </c>
      <c r="G58" s="43">
        <f>IF(COUNTIF($B$5:$B$300,B58)&gt;1,"⚠ مكرر","✔")</f>
        <v/>
      </c>
      <c r="H58" s="31" t="n"/>
    </row>
    <row r="59" ht="42" customHeight="1" s="26">
      <c r="A59" s="31" t="n">
        <v>55</v>
      </c>
      <c r="B59" s="31" t="inlineStr">
        <is>
          <t>src/components/student/my-courses/enrolled-courses-panel.tsx</t>
        </is>
      </c>
      <c r="C59" s="31" t="inlineStr">
        <is>
          <t>WP-S6</t>
        </is>
      </c>
      <c r="D59" s="31" t="inlineStr">
        <is>
          <t>إنشاء</t>
        </is>
      </c>
      <c r="E59" s="31" t="inlineStr">
        <is>
          <t>WP-00</t>
        </is>
      </c>
      <c r="F59" s="31" t="inlineStr">
        <is>
          <t>منخفض</t>
        </is>
      </c>
      <c r="G59" s="43">
        <f>IF(COUNTIF($B$5:$B$300,B59)&gt;1,"⚠ مكرر","✔")</f>
        <v/>
      </c>
      <c r="H59" s="31" t="n"/>
    </row>
    <row r="60" ht="42" customHeight="1" s="26">
      <c r="A60" s="31" t="n">
        <v>56</v>
      </c>
      <c r="B60" s="31" t="inlineStr">
        <is>
          <t>src/routes/_authenticated/attendance.tsx</t>
        </is>
      </c>
      <c r="C60" s="31" t="inlineStr">
        <is>
          <t>WP-S7</t>
        </is>
      </c>
      <c r="D60" s="31" t="inlineStr">
        <is>
          <t>إنشاء</t>
        </is>
      </c>
      <c r="E60" s="31" t="inlineStr">
        <is>
          <t>WP-00</t>
        </is>
      </c>
      <c r="F60" s="31" t="inlineStr">
        <is>
          <t>منخفض</t>
        </is>
      </c>
      <c r="G60" s="43">
        <f>IF(COUNTIF($B$5:$B$300,B60)&gt;1,"⚠ مكرر","✔")</f>
        <v/>
      </c>
      <c r="H60" s="31" t="n"/>
    </row>
    <row r="61" ht="42" customHeight="1" s="26">
      <c r="A61" s="31" t="n">
        <v>57</v>
      </c>
      <c r="B61" s="31" t="inlineStr">
        <is>
          <t>src/test-units/attendance.test.ts</t>
        </is>
      </c>
      <c r="C61" s="31" t="inlineStr">
        <is>
          <t>WP-S7</t>
        </is>
      </c>
      <c r="D61" s="31" t="inlineStr">
        <is>
          <t>إنشاء</t>
        </is>
      </c>
      <c r="E61" s="31" t="inlineStr">
        <is>
          <t>—</t>
        </is>
      </c>
      <c r="F61" s="31" t="inlineStr">
        <is>
          <t>منخفض</t>
        </is>
      </c>
      <c r="G61" s="43">
        <f>IF(COUNTIF($B$5:$B$300,B61)&gt;1,"⚠ مكرر","✔")</f>
        <v/>
      </c>
      <c r="H61" s="31" t="n"/>
    </row>
    <row r="62" ht="42" customHeight="1" s="26">
      <c r="A62" s="31" t="n">
        <v>58</v>
      </c>
      <c r="B62" s="31" t="inlineStr">
        <is>
          <t>src/routes/_authenticated/exam-results.tsx</t>
        </is>
      </c>
      <c r="C62" s="31" t="inlineStr">
        <is>
          <t>WP-S8</t>
        </is>
      </c>
      <c r="D62" s="31" t="inlineStr">
        <is>
          <t>إنشاء</t>
        </is>
      </c>
      <c r="E62" s="31" t="inlineStr">
        <is>
          <t>WP-00</t>
        </is>
      </c>
      <c r="F62" s="31" t="inlineStr">
        <is>
          <t>منخفض</t>
        </is>
      </c>
      <c r="G62" s="43">
        <f>IF(COUNTIF($B$5:$B$300,B62)&gt;1,"⚠ مكرر","✔")</f>
        <v/>
      </c>
      <c r="H62" s="31" t="n"/>
    </row>
    <row r="63" ht="42" customHeight="1" s="26">
      <c r="A63" s="31" t="n">
        <v>59</v>
      </c>
      <c r="B63" s="31" t="inlineStr">
        <is>
          <t>src/test-units/exam-results.test.ts</t>
        </is>
      </c>
      <c r="C63" s="31" t="inlineStr">
        <is>
          <t>WP-S8</t>
        </is>
      </c>
      <c r="D63" s="31" t="inlineStr">
        <is>
          <t>إنشاء</t>
        </is>
      </c>
      <c r="E63" s="31" t="inlineStr">
        <is>
          <t>—</t>
        </is>
      </c>
      <c r="F63" s="31" t="inlineStr">
        <is>
          <t>منخفض</t>
        </is>
      </c>
      <c r="G63" s="43">
        <f>IF(COUNTIF($B$5:$B$300,B63)&gt;1,"⚠ مكرر","✔")</f>
        <v/>
      </c>
      <c r="H63" s="31" t="n"/>
    </row>
    <row r="64" ht="42" customHeight="1" s="26">
      <c r="A64" s="31" t="n">
        <v>60</v>
      </c>
      <c r="B64" s="31" t="inlineStr">
        <is>
          <t>src/routes/_authenticated/progress.tsx</t>
        </is>
      </c>
      <c r="C64" s="31" t="inlineStr">
        <is>
          <t>WP-S9</t>
        </is>
      </c>
      <c r="D64" s="31" t="inlineStr">
        <is>
          <t>إنشاء</t>
        </is>
      </c>
      <c r="E64" s="31" t="inlineStr">
        <is>
          <t>WP-00</t>
        </is>
      </c>
      <c r="F64" s="31" t="inlineStr">
        <is>
          <t>منخفض</t>
        </is>
      </c>
      <c r="G64" s="43">
        <f>IF(COUNTIF($B$5:$B$300,B64)&gt;1,"⚠ مكرر","✔")</f>
        <v/>
      </c>
      <c r="H64" s="31" t="n"/>
    </row>
    <row r="65" ht="42" customHeight="1" s="26">
      <c r="A65" s="31" t="n">
        <v>61</v>
      </c>
      <c r="B65" s="31" t="inlineStr">
        <is>
          <t>src/test-units/progress.test.ts</t>
        </is>
      </c>
      <c r="C65" s="31" t="inlineStr">
        <is>
          <t>WP-S9</t>
        </is>
      </c>
      <c r="D65" s="31" t="inlineStr">
        <is>
          <t>إنشاء</t>
        </is>
      </c>
      <c r="E65" s="31" t="inlineStr">
        <is>
          <t>—</t>
        </is>
      </c>
      <c r="F65" s="31" t="inlineStr">
        <is>
          <t>منخفض</t>
        </is>
      </c>
      <c r="G65" s="43">
        <f>IF(COUNTIF($B$5:$B$300,B65)&gt;1,"⚠ مكرر","✔")</f>
        <v/>
      </c>
      <c r="H65" s="31" t="n"/>
    </row>
    <row r="66" ht="42" customHeight="1" s="26">
      <c r="A66" s="31" t="n">
        <v>62</v>
      </c>
      <c r="B66" s="31" t="inlineStr">
        <is>
          <t>src/routes/_authenticated/parent.report.tsx</t>
        </is>
      </c>
      <c r="C66" s="31" t="inlineStr">
        <is>
          <t>WP-P1</t>
        </is>
      </c>
      <c r="D66" s="31" t="inlineStr">
        <is>
          <t>تعديل</t>
        </is>
      </c>
      <c r="E66" s="31" t="inlineStr">
        <is>
          <t>—</t>
        </is>
      </c>
      <c r="F66" s="31" t="inlineStr">
        <is>
          <t>متوسط</t>
        </is>
      </c>
      <c r="G66" s="43">
        <f>IF(COUNTIF($B$5:$B$300,B66)&gt;1,"⚠ مكرر","✔")</f>
        <v/>
      </c>
      <c r="H66" s="31" t="n"/>
    </row>
    <row r="67" ht="42" customHeight="1" s="26">
      <c r="A67" s="31" t="n">
        <v>63</v>
      </c>
      <c r="B67" s="31" t="inlineStr">
        <is>
          <t>src/test-units/parent.report.test.ts</t>
        </is>
      </c>
      <c r="C67" s="31" t="inlineStr">
        <is>
          <t>WP-P1</t>
        </is>
      </c>
      <c r="D67" s="31" t="inlineStr">
        <is>
          <t>إنشاء</t>
        </is>
      </c>
      <c r="E67" s="31" t="inlineStr">
        <is>
          <t>—</t>
        </is>
      </c>
      <c r="F67" s="31" t="inlineStr">
        <is>
          <t>منخفض</t>
        </is>
      </c>
      <c r="G67" s="43">
        <f>IF(COUNTIF($B$5:$B$300,B67)&gt;1,"⚠ مكرر","✔")</f>
        <v/>
      </c>
      <c r="H67" s="31" t="n"/>
    </row>
    <row r="68" ht="42" customHeight="1" s="26">
      <c r="A68" s="31" t="n">
        <v>64</v>
      </c>
      <c r="B68" s="31" t="inlineStr">
        <is>
          <t>src/routes/_authenticated/parent.settings.tsx</t>
        </is>
      </c>
      <c r="C68" s="31" t="inlineStr">
        <is>
          <t>WP-P1</t>
        </is>
      </c>
      <c r="D68" s="31" t="inlineStr">
        <is>
          <t>تعديل</t>
        </is>
      </c>
      <c r="E68" s="31" t="inlineStr">
        <is>
          <t>—</t>
        </is>
      </c>
      <c r="F68" s="31" t="inlineStr">
        <is>
          <t>منخفض</t>
        </is>
      </c>
      <c r="G68" s="43">
        <f>IF(COUNTIF($B$5:$B$300,B68)&gt;1,"⚠ مكرر","✔")</f>
        <v/>
      </c>
      <c r="H68" s="31" t="n"/>
    </row>
    <row r="69" ht="42" customHeight="1" s="26">
      <c r="A69" s="31" t="n">
        <v>65</v>
      </c>
      <c r="B69" s="31" t="inlineStr">
        <is>
          <t>src/routes/_authenticated/wallet.tsx</t>
        </is>
      </c>
      <c r="C69" s="31" t="inlineStr">
        <is>
          <t>WP-W1</t>
        </is>
      </c>
      <c r="D69" s="31" t="inlineStr">
        <is>
          <t>تعديل</t>
        </is>
      </c>
      <c r="E69" s="31" t="inlineStr">
        <is>
          <t>—</t>
        </is>
      </c>
      <c r="F69" s="31" t="inlineStr">
        <is>
          <t>منخفض</t>
        </is>
      </c>
      <c r="G69" s="43">
        <f>IF(COUNTIF($B$5:$B$300,B69)&gt;1,"⚠ مكرر","✔")</f>
        <v/>
      </c>
      <c r="H69" s="31" t="n"/>
    </row>
    <row r="70" ht="42" customHeight="1" s="26">
      <c r="A70" s="31" t="n">
        <v>66</v>
      </c>
      <c r="B70" s="31" t="inlineStr">
        <is>
          <t>src/components/wallet/wallet-balance-panel.tsx</t>
        </is>
      </c>
      <c r="C70" s="31" t="inlineStr">
        <is>
          <t>WP-W1</t>
        </is>
      </c>
      <c r="D70" s="31" t="inlineStr">
        <is>
          <t>تعديل</t>
        </is>
      </c>
      <c r="E70" s="31" t="inlineStr">
        <is>
          <t>—</t>
        </is>
      </c>
      <c r="F70" s="31" t="inlineStr">
        <is>
          <t>متوسط</t>
        </is>
      </c>
      <c r="G70" s="43">
        <f>IF(COUNTIF($B$5:$B$300,B70)&gt;1,"⚠ مكرر","✔")</f>
        <v/>
      </c>
      <c r="H70" s="31" t="inlineStr">
        <is>
          <t>يستهلكه teacher.earnings أيضًا: أي تغيير على props يكون اختياريًا فقط</t>
        </is>
      </c>
    </row>
    <row r="71" ht="42" customHeight="1" s="26">
      <c r="A71" s="31" t="n">
        <v>67</v>
      </c>
      <c r="B71" s="31" t="inlineStr">
        <is>
          <t>src/components/wallet/insufficient-balance-alert.tsx</t>
        </is>
      </c>
      <c r="C71" s="31" t="inlineStr">
        <is>
          <t>WP-W1</t>
        </is>
      </c>
      <c r="D71" s="31" t="inlineStr">
        <is>
          <t>إنشاء</t>
        </is>
      </c>
      <c r="E71" s="31" t="inlineStr">
        <is>
          <t>WP-00</t>
        </is>
      </c>
      <c r="F71" s="31" t="inlineStr">
        <is>
          <t>منخفض</t>
        </is>
      </c>
      <c r="G71" s="43">
        <f>IF(COUNTIF($B$5:$B$300,B71)&gt;1,"⚠ مكرر","✔")</f>
        <v/>
      </c>
      <c r="H71" s="31" t="inlineStr">
        <is>
          <t>يستهلكه WP-S1 وWP-S2</t>
        </is>
      </c>
    </row>
    <row r="72" ht="42" customHeight="1" s="26">
      <c r="A72" s="31" t="n">
        <v>68</v>
      </c>
      <c r="B72" s="31" t="inlineStr">
        <is>
          <t>src/components/student/booking-payment-card.tsx</t>
        </is>
      </c>
      <c r="C72" s="31" t="inlineStr">
        <is>
          <t>WP-W1</t>
        </is>
      </c>
      <c r="D72" s="31" t="inlineStr">
        <is>
          <t>إنشاء</t>
        </is>
      </c>
      <c r="E72" s="31" t="inlineStr">
        <is>
          <t>WP-00</t>
        </is>
      </c>
      <c r="F72" s="31" t="inlineStr">
        <is>
          <t>منخفض</t>
        </is>
      </c>
      <c r="G72" s="43">
        <f>IF(COUNTIF($B$5:$B$300,B72)&gt;1,"⚠ مكرر","✔")</f>
        <v/>
      </c>
      <c r="H72" s="31" t="inlineStr">
        <is>
          <t>يستهلكه WP-S2</t>
        </is>
      </c>
    </row>
    <row r="73" ht="42" customHeight="1" s="26">
      <c r="A73" s="31" t="n">
        <v>69</v>
      </c>
      <c r="B73" s="31" t="inlineStr">
        <is>
          <t>src/components/student/booking-payment-card.test.ts</t>
        </is>
      </c>
      <c r="C73" s="31" t="inlineStr">
        <is>
          <t>WP-W1</t>
        </is>
      </c>
      <c r="D73" s="31" t="inlineStr">
        <is>
          <t>إنشاء</t>
        </is>
      </c>
      <c r="E73" s="31" t="inlineStr">
        <is>
          <t>—</t>
        </is>
      </c>
      <c r="F73" s="31" t="inlineStr">
        <is>
          <t>منخفض</t>
        </is>
      </c>
      <c r="G73" s="43">
        <f>IF(COUNTIF($B$5:$B$300,B73)&gt;1,"⚠ مكرر","✔")</f>
        <v/>
      </c>
      <c r="H73" s="31" t="n"/>
    </row>
    <row r="74" ht="42" customHeight="1" s="26">
      <c r="A74" s="31" t="n">
        <v>70</v>
      </c>
      <c r="B74" s="31" t="inlineStr">
        <is>
          <t>src/routes/_authenticated/teacher.earnings.tsx</t>
        </is>
      </c>
      <c r="C74" s="31" t="inlineStr">
        <is>
          <t>WP-W2</t>
        </is>
      </c>
      <c r="D74" s="31" t="inlineStr">
        <is>
          <t>تعديل</t>
        </is>
      </c>
      <c r="E74" s="31" t="inlineStr">
        <is>
          <t>—</t>
        </is>
      </c>
      <c r="F74" s="31" t="inlineStr">
        <is>
          <t>منخفض</t>
        </is>
      </c>
      <c r="G74" s="43">
        <f>IF(COUNTIF($B$5:$B$300,B74)&gt;1,"⚠ مكرر","✔")</f>
        <v/>
      </c>
      <c r="H74" s="31" t="n"/>
    </row>
    <row r="75" ht="42" customHeight="1" s="26">
      <c r="A75" s="31" t="n">
        <v>71</v>
      </c>
      <c r="B75" s="31" t="inlineStr">
        <is>
          <t>src/test-units/teacher.earnings.test.ts</t>
        </is>
      </c>
      <c r="C75" s="31" t="inlineStr">
        <is>
          <t>WP-W2</t>
        </is>
      </c>
      <c r="D75" s="31" t="inlineStr">
        <is>
          <t>إنشاء</t>
        </is>
      </c>
      <c r="E75" s="31" t="inlineStr">
        <is>
          <t>—</t>
        </is>
      </c>
      <c r="F75" s="31" t="inlineStr">
        <is>
          <t>منخفض</t>
        </is>
      </c>
      <c r="G75" s="43">
        <f>IF(COUNTIF($B$5:$B$300,B75)&gt;1,"⚠ مكرر","✔")</f>
        <v/>
      </c>
      <c r="H75" s="31" t="n"/>
    </row>
    <row r="76" ht="42" customHeight="1" s="26">
      <c r="A76" s="31" t="n">
        <v>72</v>
      </c>
      <c r="B76" s="31" t="inlineStr">
        <is>
          <t>e2e/*.spec.ts</t>
        </is>
      </c>
      <c r="C76" s="31" t="inlineStr">
        <is>
          <t>WP-QA</t>
        </is>
      </c>
      <c r="D76" s="31" t="inlineStr">
        <is>
          <t>إنشاء</t>
        </is>
      </c>
      <c r="E76" s="31" t="inlineStr">
        <is>
          <t>—</t>
        </is>
      </c>
      <c r="F76" s="31" t="inlineStr">
        <is>
          <t>منخفض</t>
        </is>
      </c>
      <c r="G76" s="43">
        <f>IF(COUNTIF($B$5:$B$300,B76)&gt;1,"⚠ مكرر","✔")</f>
        <v/>
      </c>
      <c r="H76" s="31" t="n"/>
    </row>
    <row r="77" ht="42" customHeight="1" s="26">
      <c r="A77" s="31" t="n">
        <v>73</v>
      </c>
      <c r="B77" s="31" t="inlineStr">
        <is>
          <t>README.md</t>
        </is>
      </c>
      <c r="C77" s="31" t="inlineStr">
        <is>
          <t>WP-QA</t>
        </is>
      </c>
      <c r="D77" s="31" t="inlineStr">
        <is>
          <t>تعديل</t>
        </is>
      </c>
      <c r="E77" s="31" t="inlineStr">
        <is>
          <t>—</t>
        </is>
      </c>
      <c r="F77" s="31" t="inlineStr">
        <is>
          <t>متوسط</t>
        </is>
      </c>
      <c r="G77" s="43">
        <f>IF(COUNTIF($B$5:$B$300,B77)&gt;1,"⚠ مكرر","✔")</f>
        <v/>
      </c>
      <c r="H77" s="31" t="n"/>
    </row>
    <row r="78" ht="42" customHeight="1" s="26">
      <c r="A78" s="31" t="n">
        <v>74</v>
      </c>
      <c r="B78" s="31" t="inlineStr">
        <is>
          <t>CHANGELOG.md</t>
        </is>
      </c>
      <c r="C78" s="31" t="inlineStr">
        <is>
          <t>WP-QA</t>
        </is>
      </c>
      <c r="D78" s="31" t="inlineStr">
        <is>
          <t>تعديل</t>
        </is>
      </c>
      <c r="E78" s="31" t="inlineStr">
        <is>
          <t>—</t>
        </is>
      </c>
      <c r="F78" s="31" t="inlineStr">
        <is>
          <t>متوسط</t>
        </is>
      </c>
      <c r="G78" s="43">
        <f>IF(COUNTIF($B$5:$B$300,B78)&gt;1,"⚠ مكرر","✔")</f>
        <v/>
      </c>
      <c r="H78" s="31" t="inlineStr">
        <is>
          <t>سطر جديد فوق فقط (append-only)</t>
        </is>
      </c>
    </row>
    <row r="79" ht="42" customHeight="1" s="26">
      <c r="A79" s="31" t="n">
        <v>75</v>
      </c>
      <c r="B79" s="31" t="inlineStr">
        <is>
          <t>PROJECT-ATLAS.md</t>
        </is>
      </c>
      <c r="C79" s="31" t="inlineStr">
        <is>
          <t>WP-QA</t>
        </is>
      </c>
      <c r="D79" s="31" t="inlineStr">
        <is>
          <t>تعديل</t>
        </is>
      </c>
      <c r="E79" s="31" t="inlineStr">
        <is>
          <t>—</t>
        </is>
      </c>
      <c r="F79" s="31" t="inlineStr">
        <is>
          <t>متوسط</t>
        </is>
      </c>
      <c r="G79" s="43">
        <f>IF(COUNTIF($B$5:$B$300,B79)&gt;1,"⚠ مكرر","✔")</f>
        <v/>
      </c>
      <c r="H79" s="31" t="n"/>
    </row>
    <row r="80" ht="42" customHeight="1" s="26">
      <c r="A80" s="31" t="n">
        <v>76</v>
      </c>
      <c r="B80" s="31" t="inlineStr">
        <is>
          <t>src/integrations/backend/pending-json.ts</t>
        </is>
      </c>
      <c r="C80" s="31" t="inlineStr">
        <is>
          <t>WP-00</t>
        </is>
      </c>
      <c r="D80" s="31" t="inlineStr">
        <is>
          <t>إنشاء</t>
        </is>
      </c>
      <c r="E80" s="31" t="inlineStr">
        <is>
          <t>—</t>
        </is>
      </c>
      <c r="F80" s="31" t="inlineStr">
        <is>
          <t>منخفض</t>
        </is>
      </c>
      <c r="G80" s="43">
        <f>IF(COUNTIF($B$5:$B$300,B80)&gt;1,"⚠ مكرر","✔")</f>
        <v/>
      </c>
      <c r="H80" s="31" t="inlineStr">
        <is>
          <t>النوع المؤقت للردود غير الموثّقة؛ يُقلَّص تدريجيًا بواسطة WP-J</t>
        </is>
      </c>
    </row>
    <row r="81" ht="42" customHeight="1" s="26">
      <c r="A81" s="31" t="n">
        <v>77</v>
      </c>
      <c r="B81" s="31" t="inlineStr">
        <is>
          <t>src/lib/parent-report.ts</t>
        </is>
      </c>
      <c r="C81" s="31" t="inlineStr">
        <is>
          <t>WP-P1</t>
        </is>
      </c>
      <c r="D81" s="31" t="inlineStr">
        <is>
          <t>إنشاء</t>
        </is>
      </c>
      <c r="E81" s="31" t="inlineStr">
        <is>
          <t>—</t>
        </is>
      </c>
      <c r="F81" s="31" t="inlineStr">
        <is>
          <t>منخفض</t>
        </is>
      </c>
      <c r="G81" s="43">
        <f>IF(COUNTIF($B$5:$B$300,B81)&gt;1,"⚠ مكرر","✔")</f>
        <v/>
      </c>
      <c r="H81" s="31" t="inlineStr">
        <is>
          <t>منطق نقي لتقرير ولي الأمر (سجّله المستخدم في v1.4)</t>
        </is>
      </c>
    </row>
    <row r="82" ht="42" customHeight="1" s="26">
      <c r="A82" s="31" t="n">
        <v>78</v>
      </c>
      <c r="B82" s="31" t="inlineStr">
        <is>
          <t>src/lib/earnings.ts</t>
        </is>
      </c>
      <c r="C82" s="31" t="inlineStr">
        <is>
          <t>WP-W2</t>
        </is>
      </c>
      <c r="D82" s="31" t="inlineStr">
        <is>
          <t>إنشاء</t>
        </is>
      </c>
      <c r="E82" s="31" t="inlineStr">
        <is>
          <t>—</t>
        </is>
      </c>
      <c r="F82" s="31" t="inlineStr">
        <is>
          <t>منخفض</t>
        </is>
      </c>
      <c r="G82" s="43">
        <f>IF(COUNTIF($B$5:$B$300,B82)&gt;1,"⚠ مكرر","✔")</f>
        <v/>
      </c>
      <c r="H82" s="31" t="inlineStr">
        <is>
          <t>منطق نقي لأرباح المعلم (سجّله المستخدم في v1.4)</t>
        </is>
      </c>
    </row>
    <row r="83" ht="42" customHeight="1" s="26">
      <c r="A83" s="31" t="n">
        <v>79</v>
      </c>
      <c r="B83" s="31" t="inlineStr">
        <is>
          <t>src/lib/booking-slots.ts</t>
        </is>
      </c>
      <c r="C83" s="31" t="inlineStr">
        <is>
          <t>WP-S1</t>
        </is>
      </c>
      <c r="D83" s="31" t="inlineStr">
        <is>
          <t>إنشاء</t>
        </is>
      </c>
      <c r="E83" s="31" t="inlineStr">
        <is>
          <t>—</t>
        </is>
      </c>
      <c r="F83" s="31" t="inlineStr">
        <is>
          <t>منخفض</t>
        </is>
      </c>
      <c r="G83" s="43">
        <f>IF(COUNTIF($B$5:$B$300,B83)&gt;1,"⚠ مكرر","✔")</f>
        <v/>
      </c>
      <c r="H83" s="31" t="inlineStr">
        <is>
          <t>محفوظ لـClaude (A-claude): توليد الأوقات المتاحة وتقدير السعر</t>
        </is>
      </c>
    </row>
    <row r="84" ht="42" customHeight="1" s="26">
      <c r="A84" s="31" t="n">
        <v>80</v>
      </c>
      <c r="B84" s="31" t="inlineStr">
        <is>
          <t>src/lib/reschedule-validation.ts</t>
        </is>
      </c>
      <c r="C84" s="31" t="inlineStr">
        <is>
          <t>WP-S3</t>
        </is>
      </c>
      <c r="D84" s="31" t="inlineStr">
        <is>
          <t>إنشاء</t>
        </is>
      </c>
      <c r="E84" s="31" t="inlineStr">
        <is>
          <t>—</t>
        </is>
      </c>
      <c r="F84" s="31" t="inlineStr">
        <is>
          <t>منخفض</t>
        </is>
      </c>
      <c r="G84" s="43">
        <f>IF(COUNTIF($B$5:$B$300,B84)&gt;1,"⚠ مكرر","✔")</f>
        <v/>
      </c>
      <c r="H84" s="31" t="inlineStr">
        <is>
          <t>محفوظ لـClaude (A-claude): تحقق نافذة إعادة الجدولة</t>
        </is>
      </c>
    </row>
    <row r="85" ht="42" customHeight="1" s="26">
      <c r="A85" s="31" t="n">
        <v>81</v>
      </c>
      <c r="B85" s="31" t="inlineStr">
        <is>
          <t>src/lib/schedule-join.ts</t>
        </is>
      </c>
      <c r="C85" s="31" t="inlineStr">
        <is>
          <t>WP-S5</t>
        </is>
      </c>
      <c r="D85" s="31" t="inlineStr">
        <is>
          <t>إنشاء</t>
        </is>
      </c>
      <c r="E85" s="31" t="inlineStr">
        <is>
          <t>—</t>
        </is>
      </c>
      <c r="F85" s="31" t="inlineStr">
        <is>
          <t>منخفض</t>
        </is>
      </c>
      <c r="G85" s="43">
        <f>IF(COUNTIF($B$5:$B$300,B85)&gt;1,"⚠ مكرر","✔")</f>
        <v/>
      </c>
      <c r="H85" s="31" t="inlineStr">
        <is>
          <t>محفوظ لـClaude (A-claude): قواعد عرض زر الانضمام/الرابط</t>
        </is>
      </c>
    </row>
    <row r="86" ht="42" customHeight="1" s="26">
      <c r="A86" s="31" t="n">
        <v>82</v>
      </c>
      <c r="B86" s="31" t="inlineStr">
        <is>
          <t>src/lib/exam-percent.ts</t>
        </is>
      </c>
      <c r="C86" s="31" t="inlineStr">
        <is>
          <t>WP-S8</t>
        </is>
      </c>
      <c r="D86" s="31" t="inlineStr">
        <is>
          <t>إنشاء</t>
        </is>
      </c>
      <c r="E86" s="31" t="inlineStr">
        <is>
          <t>—</t>
        </is>
      </c>
      <c r="F86" s="31" t="inlineStr">
        <is>
          <t>منخفض</t>
        </is>
      </c>
      <c r="G86" s="43">
        <f>IF(COUNTIF($B$5:$B$300,B86)&gt;1,"⚠ مكرر","✔")</f>
        <v/>
      </c>
      <c r="H86" s="31" t="inlineStr">
        <is>
          <t>محفوظ لـClaude (A-claude): حساب نسبة الامتحان</t>
        </is>
      </c>
    </row>
    <row r="87" ht="42" customHeight="1" s="26">
      <c r="A87" s="31" t="n">
        <v>83</v>
      </c>
      <c r="B87" s="31" t="inlineStr">
        <is>
          <t>src/components/student/attendance-rate-card.tsx</t>
        </is>
      </c>
      <c r="C87" s="31" t="inlineStr">
        <is>
          <t>WP-S7</t>
        </is>
      </c>
      <c r="D87" s="31" t="inlineStr">
        <is>
          <t>إنشاء</t>
        </is>
      </c>
      <c r="E87" s="31" t="inlineStr">
        <is>
          <t>—</t>
        </is>
      </c>
      <c r="F87" s="31" t="inlineStr">
        <is>
          <t>منخفض</t>
        </is>
      </c>
      <c r="G87" s="43">
        <f>IF(COUNTIF($B$5:$B$300,B87)&gt;1,"⚠ مكرر","✔")</f>
        <v/>
      </c>
      <c r="H87" s="31" t="inlineStr">
        <is>
          <t>محفوظ لـClaude (A-claude): بطاقة نسبة الحضور (S7-02)</t>
        </is>
      </c>
    </row>
    <row r="88" ht="42" customHeight="1" s="26">
      <c r="A88" s="31" t="n">
        <v>84</v>
      </c>
      <c r="B88" s="31" t="inlineStr">
        <is>
          <t>src/lib/progress.ts</t>
        </is>
      </c>
      <c r="C88" s="31" t="inlineStr">
        <is>
          <t>WP-S9</t>
        </is>
      </c>
      <c r="D88" s="31" t="inlineStr">
        <is>
          <t>إنشاء</t>
        </is>
      </c>
      <c r="E88" s="31" t="inlineStr">
        <is>
          <t>—</t>
        </is>
      </c>
      <c r="F88" s="31" t="inlineStr">
        <is>
          <t>منخفض</t>
        </is>
      </c>
      <c r="G88" s="43">
        <f>IF(COUNTIF($B$5:$B$300,B88)&gt;1,"⚠ مكرر","✔")</f>
        <v/>
      </c>
      <c r="H88" s="31" t="inlineStr">
        <is>
          <t>منطق نقي لصفحة التقدم (سجّله المستخدم v1.5)</t>
        </is>
      </c>
    </row>
    <row r="89" ht="42" customHeight="1" s="26">
      <c r="A89" s="31" t="n">
        <v>85</v>
      </c>
      <c r="B89" s="31" t="inlineStr">
        <is>
          <t>src/components/teacher/lesson-form-schema.ts</t>
        </is>
      </c>
      <c r="C89" s="31" t="inlineStr">
        <is>
          <t>WP-T4</t>
        </is>
      </c>
      <c r="D89" s="31" t="inlineStr">
        <is>
          <t>إنشاء</t>
        </is>
      </c>
      <c r="E89" s="31" t="inlineStr">
        <is>
          <t>—</t>
        </is>
      </c>
      <c r="F89" s="31" t="inlineStr">
        <is>
          <t>منخفض</t>
        </is>
      </c>
      <c r="G89" s="43">
        <f>IF(COUNTIF($B$5:$B$300,B89)&gt;1,"⚠ مكرر","✔")</f>
        <v/>
      </c>
      <c r="H89" s="31" t="inlineStr">
        <is>
          <t>مخطط zod لنموذج الدرس (سجّله المستخدم v1.5)</t>
        </is>
      </c>
    </row>
    <row r="90" ht="42" customHeight="1" s="26">
      <c r="A90" s="31" t="n">
        <v>86</v>
      </c>
      <c r="B90" s="31" t="inlineStr">
        <is>
          <t>src/components/teacher/group-schedule-validation.ts</t>
        </is>
      </c>
      <c r="C90" s="31" t="inlineStr">
        <is>
          <t>WP-T2</t>
        </is>
      </c>
      <c r="D90" s="31" t="inlineStr">
        <is>
          <t>إنشاء</t>
        </is>
      </c>
      <c r="E90" s="31" t="inlineStr">
        <is>
          <t>—</t>
        </is>
      </c>
      <c r="F90" s="31" t="inlineStr">
        <is>
          <t>منخفض</t>
        </is>
      </c>
      <c r="G90" s="43">
        <f>IF(COUNTIF($B$5:$B$300,B90)&gt;1,"⚠ مكرر","✔")</f>
        <v/>
      </c>
      <c r="H90" s="31" t="inlineStr">
        <is>
          <t>محققات جدول المجموعة (سجّله المستخدم v1.5)</t>
        </is>
      </c>
    </row>
    <row r="91" ht="42" customHeight="1" s="26">
      <c r="A91" s="31" t="n">
        <v>87</v>
      </c>
      <c r="B91" s="31" t="inlineStr">
        <is>
          <t>src/lib/rating.ts</t>
        </is>
      </c>
      <c r="C91" s="31" t="inlineStr">
        <is>
          <t>WP-S4</t>
        </is>
      </c>
      <c r="D91" s="31" t="inlineStr">
        <is>
          <t>إنشاء</t>
        </is>
      </c>
      <c r="E91" s="31" t="inlineStr">
        <is>
          <t>—</t>
        </is>
      </c>
      <c r="F91" s="31" t="inlineStr">
        <is>
          <t>منخفض</t>
        </is>
      </c>
      <c r="G91" s="43">
        <f>IF(COUNTIF($B$5:$B$300,B91)&gt;1,"⚠ مكرر","✔")</f>
        <v/>
      </c>
      <c r="H91" s="31" t="inlineStr">
        <is>
          <t>تحقق نقي للتقييم (Claude v1.5)</t>
        </is>
      </c>
    </row>
    <row r="92" ht="42" customHeight="1" s="26">
      <c r="A92" s="31" t="n">
        <v>88</v>
      </c>
      <c r="B92" s="31" t="inlineStr">
        <is>
          <t>src/components/student/my-courses/schedule-row.tsx</t>
        </is>
      </c>
      <c r="C92" s="31" t="inlineStr">
        <is>
          <t>WP-S2</t>
        </is>
      </c>
      <c r="D92" s="31" t="inlineStr">
        <is>
          <t>إنشاء</t>
        </is>
      </c>
      <c r="E92" s="31" t="inlineStr">
        <is>
          <t>—</t>
        </is>
      </c>
      <c r="F92" s="31" t="inlineStr">
        <is>
          <t>منخفض</t>
        </is>
      </c>
      <c r="G92" s="43">
        <f>IF(COUNTIF($B$5:$B$300,B92)&gt;1,"⚠ مكرر","✔")</f>
        <v/>
      </c>
      <c r="H92" s="31" t="inlineStr">
        <is>
          <t>صفّ رابط للوحات كورساتي (Claude v1.5)</t>
        </is>
      </c>
    </row>
    <row r="93" ht="42" customHeight="1" s="26">
      <c r="A93" s="31" t="n">
        <v>89</v>
      </c>
      <c r="B93" s="31" t="inlineStr">
        <is>
          <t>package.json / package-lock.json</t>
        </is>
      </c>
      <c r="C93" s="31" t="inlineStr">
        <is>
          <t>مجمّد</t>
        </is>
      </c>
      <c r="D93" s="31" t="inlineStr">
        <is>
          <t>ممنوع</t>
        </is>
      </c>
      <c r="E93" s="31" t="inlineStr">
        <is>
          <t>—</t>
        </is>
      </c>
      <c r="F93" s="31" t="inlineStr">
        <is>
          <t>—</t>
        </is>
      </c>
      <c r="G93" s="43">
        <f>IF(COUNTIF($B$5:$B$300,B93)&gt;1,"⚠ مكرر","✔")</f>
        <v/>
      </c>
      <c r="H93" s="31" t="inlineStr">
        <is>
          <t>ممنوع إضافة dependencies بدون موافقة (CR)</t>
        </is>
      </c>
    </row>
    <row r="94" ht="42" customHeight="1" s="26">
      <c r="A94" s="31" t="n">
        <v>90</v>
      </c>
      <c r="B94" s="31" t="inlineStr">
        <is>
          <t>src/integrations/backend/client.ts</t>
        </is>
      </c>
      <c r="C94" s="31" t="inlineStr">
        <is>
          <t>مجمّد</t>
        </is>
      </c>
      <c r="D94" s="31" t="inlineStr">
        <is>
          <t>ممنوع</t>
        </is>
      </c>
      <c r="E94" s="31" t="inlineStr">
        <is>
          <t>—</t>
        </is>
      </c>
      <c r="F94" s="31" t="inlineStr">
        <is>
          <t>—</t>
        </is>
      </c>
      <c r="G94" s="43">
        <f>IF(COUNTIF($B$5:$B$300,B94)&gt;1,"⚠ مكرر","✔")</f>
        <v/>
      </c>
      <c r="H94" s="31" t="inlineStr">
        <is>
          <t>عميل HTTP — مشترك</t>
        </is>
      </c>
    </row>
    <row r="95" ht="42" customHeight="1" s="26">
      <c r="A95" s="31" t="n">
        <v>91</v>
      </c>
      <c r="B95" s="31" t="inlineStr">
        <is>
          <t>src/integrations/backend/auth.ts</t>
        </is>
      </c>
      <c r="C95" s="31" t="inlineStr">
        <is>
          <t>مجمّد</t>
        </is>
      </c>
      <c r="D95" s="31" t="inlineStr">
        <is>
          <t>ممنوع</t>
        </is>
      </c>
      <c r="E95" s="31" t="inlineStr">
        <is>
          <t>—</t>
        </is>
      </c>
      <c r="F95" s="31" t="inlineStr">
        <is>
          <t>—</t>
        </is>
      </c>
      <c r="G95" s="43">
        <f>IF(COUNTIF($B$5:$B$300,B95)&gt;1,"⚠ مكرر","✔")</f>
        <v/>
      </c>
      <c r="H95" s="31" t="inlineStr">
        <is>
          <t>خارج النطاق</t>
        </is>
      </c>
    </row>
    <row r="96" ht="42" customHeight="1" s="26">
      <c r="A96" s="31" t="n">
        <v>92</v>
      </c>
      <c r="B96" s="31" t="inlineStr">
        <is>
          <t>src/components/app/kit.tsx</t>
        </is>
      </c>
      <c r="C96" s="31" t="inlineStr">
        <is>
          <t>مجمّد</t>
        </is>
      </c>
      <c r="D96" s="31" t="inlineStr">
        <is>
          <t>ممنوع</t>
        </is>
      </c>
      <c r="E96" s="31" t="inlineStr">
        <is>
          <t>—</t>
        </is>
      </c>
      <c r="F96" s="31" t="inlineStr">
        <is>
          <t>—</t>
        </is>
      </c>
      <c r="G96" s="43">
        <f>IF(COUNTIF($B$5:$B$300,B96)&gt;1,"⚠ مكرر","✔")</f>
        <v/>
      </c>
      <c r="H96" s="31" t="inlineStr">
        <is>
          <t>مكونات AppPage/Panel/DataTable.. — مشتركة؛ أي إضافة عبر CR</t>
        </is>
      </c>
    </row>
    <row r="97" ht="42" customHeight="1" s="26">
      <c r="A97" s="31" t="n">
        <v>93</v>
      </c>
      <c r="B97" s="31" t="inlineStr">
        <is>
          <t>src/components/app/feedback-states.tsx</t>
        </is>
      </c>
      <c r="C97" s="31" t="inlineStr">
        <is>
          <t>مجمّد</t>
        </is>
      </c>
      <c r="D97" s="31" t="inlineStr">
        <is>
          <t>ممنوع</t>
        </is>
      </c>
      <c r="E97" s="31" t="inlineStr">
        <is>
          <t>—</t>
        </is>
      </c>
      <c r="F97" s="31" t="inlineStr">
        <is>
          <t>—</t>
        </is>
      </c>
      <c r="G97" s="43">
        <f>IF(COUNTIF($B$5:$B$300,B97)&gt;1,"⚠ مكرر","✔")</f>
        <v/>
      </c>
      <c r="H97" s="31" t="inlineStr">
        <is>
          <t>مشتركة</t>
        </is>
      </c>
    </row>
    <row r="98" ht="42" customHeight="1" s="26">
      <c r="A98" s="31" t="n">
        <v>94</v>
      </c>
      <c r="B98" s="31" t="inlineStr">
        <is>
          <t>src/components/app/guard.tsx / hooks/use-access.ts / use-can-view.ts</t>
        </is>
      </c>
      <c r="C98" s="31" t="inlineStr">
        <is>
          <t>مجمّد</t>
        </is>
      </c>
      <c r="D98" s="31" t="inlineStr">
        <is>
          <t>ممنوع</t>
        </is>
      </c>
      <c r="E98" s="31" t="inlineStr">
        <is>
          <t>—</t>
        </is>
      </c>
      <c r="F98" s="31" t="inlineStr">
        <is>
          <t>—</t>
        </is>
      </c>
      <c r="G98" s="43">
        <f>IF(COUNTIF($B$5:$B$300,B98)&gt;1,"⚠ مكرر","✔")</f>
        <v/>
      </c>
      <c r="H98" s="31" t="inlineStr">
        <is>
          <t>منظومة الصلاحيات</t>
        </is>
      </c>
    </row>
    <row r="99" ht="42" customHeight="1" s="26">
      <c r="A99" s="31" t="n">
        <v>95</v>
      </c>
      <c r="B99" s="31" t="inlineStr">
        <is>
          <t>src/lib/bi.ts / lib/seo.ts / lib/rbac-client.ts / lib/rbac-types.ts</t>
        </is>
      </c>
      <c r="C99" s="31" t="inlineStr">
        <is>
          <t>مجمّد</t>
        </is>
      </c>
      <c r="D99" s="31" t="inlineStr">
        <is>
          <t>ممنوع</t>
        </is>
      </c>
      <c r="E99" s="31" t="inlineStr">
        <is>
          <t>—</t>
        </is>
      </c>
      <c r="F99" s="31" t="inlineStr">
        <is>
          <t>—</t>
        </is>
      </c>
      <c r="G99" s="43">
        <f>IF(COUNTIF($B$5:$B$300,B99)&gt;1,"⚠ مكرر","✔")</f>
        <v/>
      </c>
      <c r="H99" s="31" t="inlineStr">
        <is>
          <t>مشتركة</t>
        </is>
      </c>
    </row>
    <row r="100" ht="42" customHeight="1" s="26">
      <c r="A100" s="31" t="n">
        <v>96</v>
      </c>
      <c r="B100" s="31" t="inlineStr">
        <is>
          <t>src/i18n/locales/*.json</t>
        </is>
      </c>
      <c r="C100" s="31" t="inlineStr">
        <is>
          <t>مجمّد</t>
        </is>
      </c>
      <c r="D100" s="31" t="inlineStr">
        <is>
          <t>ممنوع</t>
        </is>
      </c>
      <c r="E100" s="31" t="inlineStr">
        <is>
          <t>—</t>
        </is>
      </c>
      <c r="F100" s="31" t="inlineStr">
        <is>
          <t>—</t>
        </is>
      </c>
      <c r="G100" s="43">
        <f>IF(COUNTIF($B$5:$B$300,B100)&gt;1,"⚠ مكرر","✔")</f>
        <v/>
      </c>
      <c r="H100" s="31" t="inlineStr">
        <is>
          <t>لا تُعدَّل: النصوص الجديدة عبر bi(ar,en) داخل المكونات</t>
        </is>
      </c>
    </row>
    <row r="101" ht="42" customHeight="1" s="26">
      <c r="A101" s="31" t="n">
        <v>97</v>
      </c>
      <c r="B101" s="31" t="inlineStr">
        <is>
          <t>src/styles.css</t>
        </is>
      </c>
      <c r="C101" s="31" t="inlineStr">
        <is>
          <t>مجمّد</t>
        </is>
      </c>
      <c r="D101" s="31" t="inlineStr">
        <is>
          <t>ممنوع</t>
        </is>
      </c>
      <c r="E101" s="31" t="inlineStr">
        <is>
          <t>—</t>
        </is>
      </c>
      <c r="F101" s="31" t="inlineStr">
        <is>
          <t>—</t>
        </is>
      </c>
      <c r="G101" s="43">
        <f>IF(COUNTIF($B$5:$B$300,B101)&gt;1,"⚠ مكرر","✔")</f>
        <v/>
      </c>
      <c r="H101" s="31" t="inlineStr">
        <is>
          <t>لا تعديل بدون CR</t>
        </is>
      </c>
    </row>
    <row r="102" ht="42" customHeight="1" s="26">
      <c r="A102" s="31" t="n">
        <v>98</v>
      </c>
      <c r="B102" s="31" t="inlineStr">
        <is>
          <t>src/routes/_authenticated/route.tsx / __root.tsx</t>
        </is>
      </c>
      <c r="C102" s="31" t="inlineStr">
        <is>
          <t>مجمّد</t>
        </is>
      </c>
      <c r="D102" s="31" t="inlineStr">
        <is>
          <t>ممنوع</t>
        </is>
      </c>
      <c r="E102" s="31" t="inlineStr">
        <is>
          <t>—</t>
        </is>
      </c>
      <c r="F102" s="31" t="inlineStr">
        <is>
          <t>—</t>
        </is>
      </c>
      <c r="G102" s="43">
        <f>IF(COUNTIF($B$5:$B$300,B102)&gt;1,"⚠ مكرر","✔")</f>
        <v/>
      </c>
      <c r="H102" s="31" t="inlineStr">
        <is>
          <t>هيكل التطبيق</t>
        </is>
      </c>
    </row>
    <row r="103" ht="42" customHeight="1" s="26">
      <c r="A103" s="31" t="n">
        <v>99</v>
      </c>
      <c r="B103" s="31" t="inlineStr">
        <is>
          <t>src/routes/_authenticated/dashboard.tsx</t>
        </is>
      </c>
      <c r="C103" s="31" t="inlineStr">
        <is>
          <t>مجمّد</t>
        </is>
      </c>
      <c r="D103" s="31" t="inlineStr">
        <is>
          <t>ممنوع</t>
        </is>
      </c>
      <c r="E103" s="31" t="inlineStr">
        <is>
          <t>—</t>
        </is>
      </c>
      <c r="F103" s="31" t="inlineStr">
        <is>
          <t>—</t>
        </is>
      </c>
      <c r="G103" s="43">
        <f>IF(COUNTIF($B$5:$B$300,B103)&gt;1,"⚠ مكرر","✔")</f>
        <v/>
      </c>
      <c r="H103" s="31" t="inlineStr">
        <is>
          <t>لوحة الطالب (جاهزة FR-S01) — لا تلمسها</t>
        </is>
      </c>
    </row>
    <row r="104" ht="42" customHeight="1" s="26">
      <c r="A104" s="31" t="n">
        <v>100</v>
      </c>
      <c r="B104" s="31" t="inlineStr">
        <is>
          <t>src/routes/_authenticated/notifications.tsx</t>
        </is>
      </c>
      <c r="C104" s="31" t="inlineStr">
        <is>
          <t>مجمّد</t>
        </is>
      </c>
      <c r="D104" s="31" t="inlineStr">
        <is>
          <t>ممنوع</t>
        </is>
      </c>
      <c r="E104" s="31" t="inlineStr">
        <is>
          <t>—</t>
        </is>
      </c>
      <c r="F104" s="31" t="inlineStr">
        <is>
          <t>—</t>
        </is>
      </c>
      <c r="G104" s="43">
        <f>IF(COUNTIF($B$5:$B$300,B104)&gt;1,"⚠ مكرر","✔")</f>
        <v/>
      </c>
      <c r="H104" s="31" t="inlineStr">
        <is>
          <t>جاهزة FR-S12</t>
        </is>
      </c>
    </row>
  </sheetData>
  <autoFilter ref="A4:H104"/>
  <conditionalFormatting sqref="G5:G300">
    <cfRule type="cellIs" rank="0" priority="2" equalAverage="0" operator="equal" aboveAverage="0" dxfId="0" text="" percent="0" bottom="0">
      <formula>"⚠ مكرر"</formula>
    </cfRule>
  </conditionalFormatting>
  <conditionalFormatting sqref="F5:F300">
    <cfRule type="cellIs" rank="0" priority="3" equalAverage="0" operator="equal" aboveAverage="0" dxfId="2" text="" percent="0" bottom="0">
      <formula>"عالٍ"</formula>
    </cfRule>
    <cfRule type="cellIs" rank="0" priority="4" equalAverage="0" operator="equal" aboveAverage="0" dxfId="0" text="" percent="0" bottom="0">
      <formula>"عالٍ جدًا"</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2E75B6"/>
    <outlinePr summaryBelow="1" summaryRight="1"/>
    <pageSetUpPr fitToPage="0"/>
  </sheetPr>
  <dimension ref="A1:G53"/>
  <sheetViews>
    <sheetView showFormulas="0" showGridLines="1" showRowColHeaders="1" showZeros="1" rightToLeft="1"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5" min="1" max="1"/>
    <col width="30" customWidth="1" style="25" min="2" max="2"/>
    <col width="52" customWidth="1" style="25" min="3" max="3"/>
    <col width="62" customWidth="1" style="25" min="4" max="4"/>
    <col width="16" customWidth="1" style="25" min="5" max="5"/>
    <col width="22" customWidth="1" style="25" min="6" max="6"/>
    <col width="50" customWidth="1" style="25" min="7" max="7"/>
  </cols>
  <sheetData>
    <row r="1" ht="42" customHeight="1" s="26">
      <c r="A1" s="27" t="inlineStr">
        <is>
          <t>العقود بين الـ WPs (واجهات المكونات والاتفاقات)</t>
        </is>
      </c>
      <c r="B1" s="28" t="n"/>
      <c r="C1" s="28" t="n"/>
      <c r="D1" s="28" t="n"/>
      <c r="E1" s="28" t="n"/>
      <c r="F1" s="28" t="n"/>
      <c r="G1" s="28" t="n"/>
    </row>
    <row r="2" ht="42" customHeight="1" s="26">
      <c r="A2" s="32" t="inlineStr">
        <is>
          <t>هذا ما يجعل الـ WPs تعمل بالتوازي بدون انتظار بعضها: كل مكوّن مُستهلَك له Stub من WP-00 بنفس الـ props. لا يغيّر مالك مكوّن توقيعه بدون CR.</t>
        </is>
      </c>
      <c r="B2" s="28" t="n"/>
      <c r="C2" s="28" t="n"/>
      <c r="D2" s="28" t="n"/>
      <c r="E2" s="28" t="n"/>
      <c r="F2" s="28" t="n"/>
      <c r="G2" s="28" t="n"/>
    </row>
    <row r="3" ht="42" customHeight="1" s="26">
      <c r="A3" s="28" t="n"/>
      <c r="B3" s="28" t="n"/>
      <c r="C3" s="28" t="n"/>
      <c r="D3" s="28" t="n"/>
      <c r="E3" s="28" t="n"/>
      <c r="F3" s="28" t="n"/>
      <c r="G3" s="28" t="n"/>
    </row>
    <row r="4" ht="42" customHeight="1" s="26">
      <c r="A4" s="40" t="inlineStr">
        <is>
          <t>ID</t>
        </is>
      </c>
      <c r="B4" s="40" t="inlineStr">
        <is>
          <t>الاسم</t>
        </is>
      </c>
      <c r="C4" s="40" t="inlineStr">
        <is>
          <t>الملف (تحت src/)</t>
        </is>
      </c>
      <c r="D4" s="40" t="inlineStr">
        <is>
          <t>التوقيع / الـ props / القاعدة</t>
        </is>
      </c>
      <c r="E4" s="40" t="inlineStr">
        <is>
          <t>المالك</t>
        </is>
      </c>
      <c r="F4" s="40" t="inlineStr">
        <is>
          <t>المستهلكون</t>
        </is>
      </c>
      <c r="G4" s="40" t="inlineStr">
        <is>
          <t>ملاحظات</t>
        </is>
      </c>
    </row>
    <row r="5" ht="42" customHeight="1" s="26">
      <c r="A5" s="41" t="inlineStr">
        <is>
          <t>C-01</t>
        </is>
      </c>
      <c r="B5" s="31" t="inlineStr">
        <is>
          <t>تبويبات شاشة الكورس (4 مكونات)</t>
        </is>
      </c>
      <c r="C5" s="31" t="inlineStr">
        <is>
          <t>components/teacher/{course-details-tab,group-config-tab,group-students-tab,lessons-tab}.tsx</t>
        </is>
      </c>
      <c r="D5" s="31" t="inlineStr">
        <is>
          <t>props: { course: TeacherCourseDetail; onChanged: () =&gt; void }</t>
        </is>
      </c>
      <c r="E5" s="31" t="inlineStr">
        <is>
          <t>T1 / T2 / T3 / T4</t>
        </is>
      </c>
      <c r="F5" s="31" t="inlineStr">
        <is>
          <t>WP-T1 (shell)</t>
        </is>
      </c>
      <c r="G5" s="31" t="inlineStr">
        <is>
          <t>الـ shell هو الذي يجلب الكورس ويمرّره. النوع يُعرَّف في courses.ts (WP-00) ويُعدَّل بعد عينة Q-05.</t>
        </is>
      </c>
    </row>
    <row r="6" ht="42" customHeight="1" s="26">
      <c r="A6" s="41" t="inlineStr">
        <is>
          <t>C-02</t>
        </is>
      </c>
      <c r="B6" s="31" t="inlineStr">
        <is>
          <t>بطاقة حالة دفع الحجز</t>
        </is>
      </c>
      <c r="C6" s="31" t="inlineStr">
        <is>
          <t>components/student/booking-payment-card.tsx</t>
        </is>
      </c>
      <c r="D6" s="31" t="inlineStr">
        <is>
          <t>props: { bookingId: number }</t>
        </is>
      </c>
      <c r="E6" s="31" t="inlineStr">
        <is>
          <t>WP-W1</t>
        </is>
      </c>
      <c r="F6" s="31" t="inlineStr">
        <is>
          <t>WP-S2</t>
        </is>
      </c>
      <c r="G6" s="31" t="inlineStr">
        <is>
          <t>تجلب Student/BookingPayment داخليًا.</t>
        </is>
      </c>
    </row>
    <row r="7" ht="42" customHeight="1" s="26">
      <c r="A7" s="41" t="inlineStr">
        <is>
          <t>C-03</t>
        </is>
      </c>
      <c r="B7" s="31" t="inlineStr">
        <is>
          <t>تنبيه الرصيد غير الكافي</t>
        </is>
      </c>
      <c r="C7" s="31" t="inlineStr">
        <is>
          <t>components/wallet/insufficient-balance-alert.tsx</t>
        </is>
      </c>
      <c r="D7" s="31" t="inlineStr">
        <is>
          <t>props: { required: number; balance: number }</t>
        </is>
      </c>
      <c r="E7" s="31" t="inlineStr">
        <is>
          <t>WP-W1</t>
        </is>
      </c>
      <c r="F7" s="31" t="inlineStr">
        <is>
          <t>WP-S1, WP-S2</t>
        </is>
      </c>
      <c r="G7" s="31" t="n"/>
    </row>
    <row r="8" ht="42" customHeight="1" s="26">
      <c r="A8" s="41" t="inlineStr">
        <is>
          <t>C-04</t>
        </is>
      </c>
      <c r="B8" s="31" t="inlineStr">
        <is>
          <t>نافذة إلغاء الحجز</t>
        </is>
      </c>
      <c r="C8" s="31" t="inlineStr">
        <is>
          <t>components/student/cancel-booking-dialog.tsx</t>
        </is>
      </c>
      <c r="D8" s="31" t="inlineStr">
        <is>
          <t>props: { booking: StudentBookingDetail; open: boolean; onOpenChange(o:boolean): void }</t>
        </is>
      </c>
      <c r="E8" s="31" t="inlineStr">
        <is>
          <t>WP-S2</t>
        </is>
      </c>
      <c r="F8" s="31" t="inlineStr">
        <is>
          <t>WP-S2 (booking.$id)</t>
        </is>
      </c>
      <c r="G8" s="31" t="inlineStr">
        <is>
          <t>داخلية لـ WP-S2.</t>
        </is>
      </c>
    </row>
    <row r="9" ht="42" customHeight="1" s="26">
      <c r="A9" s="41" t="inlineStr">
        <is>
          <t>C-05</t>
        </is>
      </c>
      <c r="B9" s="31" t="inlineStr">
        <is>
          <t>نافذة إعادة الجدولة</t>
        </is>
      </c>
      <c r="C9" s="31" t="inlineStr">
        <is>
          <t>components/student/reschedule-dialog.tsx</t>
        </is>
      </c>
      <c r="D9" s="31" t="inlineStr">
        <is>
          <t>props: { booking: StudentBookingDetail; open: boolean; onOpenChange(o:boolean): void }</t>
        </is>
      </c>
      <c r="E9" s="31" t="inlineStr">
        <is>
          <t>WP-S3</t>
        </is>
      </c>
      <c r="F9" s="31" t="inlineStr">
        <is>
          <t>WP-S2</t>
        </is>
      </c>
      <c r="G9" s="31" t="n"/>
    </row>
    <row r="10" ht="42" customHeight="1" s="26">
      <c r="A10" s="41" t="inlineStr">
        <is>
          <t>C-06</t>
        </is>
      </c>
      <c r="B10" s="31" t="inlineStr">
        <is>
          <t>نافذة التقييم</t>
        </is>
      </c>
      <c r="C10" s="31" t="inlineStr">
        <is>
          <t>components/student/rate-booking-dialog.tsx</t>
        </is>
      </c>
      <c r="D10" s="31" t="inlineStr">
        <is>
          <t>props: { booking: StudentBookingDetail; open: boolean; onOpenChange(o:boolean): void }</t>
        </is>
      </c>
      <c r="E10" s="31" t="inlineStr">
        <is>
          <t>WP-S4</t>
        </is>
      </c>
      <c r="F10" s="31" t="inlineStr">
        <is>
          <t>WP-S2</t>
        </is>
      </c>
      <c r="G10" s="31" t="n"/>
    </row>
    <row r="11" ht="42" customHeight="1" s="26">
      <c r="A11" s="41" t="inlineStr">
        <is>
          <t>C-07</t>
        </is>
      </c>
      <c r="B11" s="31" t="inlineStr">
        <is>
          <t>لوحة طلبات إعادة الجدولة</t>
        </is>
      </c>
      <c r="C11" s="31" t="inlineStr">
        <is>
          <t>components/student/my-courses/reschedule-requests-panel.tsx</t>
        </is>
      </c>
      <c r="D11" s="31" t="inlineStr">
        <is>
          <t>props: {} (تجلب بنفسها)</t>
        </is>
      </c>
      <c r="E11" s="31" t="inlineStr">
        <is>
          <t>WP-S3</t>
        </is>
      </c>
      <c r="F11" s="31" t="inlineStr">
        <is>
          <t>my-courses.tsx (WP-00)</t>
        </is>
      </c>
      <c r="G11" s="31" t="n"/>
    </row>
    <row r="12" ht="42" customHeight="1" s="26">
      <c r="A12" s="41" t="inlineStr">
        <is>
          <t>C-08</t>
        </is>
      </c>
      <c r="B12" s="31" t="inlineStr">
        <is>
          <t>لوحة الكورسات المسجّلة</t>
        </is>
      </c>
      <c r="C12" s="31" t="inlineStr">
        <is>
          <t>components/student/my-courses/enrolled-courses-panel.tsx</t>
        </is>
      </c>
      <c r="D12" s="31" t="inlineStr">
        <is>
          <t>props: {}</t>
        </is>
      </c>
      <c r="E12" s="31" t="inlineStr">
        <is>
          <t>WP-S6</t>
        </is>
      </c>
      <c r="F12" s="31" t="inlineStr">
        <is>
          <t>my-courses.tsx (WP-00)</t>
        </is>
      </c>
      <c r="G12" s="31" t="n"/>
    </row>
    <row r="13" ht="42" customHeight="1" s="26">
      <c r="A13" s="41" t="inlineStr">
        <is>
          <t>C-09</t>
        </is>
      </c>
      <c r="B13" s="31" t="inlineStr">
        <is>
          <t>لوحتا الحجوزات والطلبات</t>
        </is>
      </c>
      <c r="C13" s="31" t="inlineStr">
        <is>
          <t>components/student/my-courses/{confirmed-bookings-panel,pending-requests-panel}.tsx</t>
        </is>
      </c>
      <c r="D13" s="31" t="inlineStr">
        <is>
          <t>props: {}</t>
        </is>
      </c>
      <c r="E13" s="31" t="inlineStr">
        <is>
          <t>WP-S2</t>
        </is>
      </c>
      <c r="F13" s="31" t="inlineStr">
        <is>
          <t>my-courses.tsx (WP-00)</t>
        </is>
      </c>
      <c r="G13" s="31" t="n"/>
    </row>
    <row r="14" ht="42" customHeight="1" s="26">
      <c r="A14" s="41" t="inlineStr">
        <is>
          <t>C-10</t>
        </is>
      </c>
      <c r="B14" s="31" t="inlineStr">
        <is>
          <t>شارة حالة الحجز</t>
        </is>
      </c>
      <c r="C14" s="31" t="inlineStr">
        <is>
          <t>components/app/booking-status-badge.tsx</t>
        </is>
      </c>
      <c r="D14" s="31" t="inlineStr">
        <is>
          <t>props: { status: number }</t>
        </is>
      </c>
      <c r="E14" s="31" t="inlineStr">
        <is>
          <t>WP-00</t>
        </is>
      </c>
      <c r="F14" s="31" t="inlineStr">
        <is>
          <t>كل WP</t>
        </is>
      </c>
      <c r="G14" s="31" t="inlineStr">
        <is>
          <t>القيم 1..6 (Pending, Accepted, Rejected, Cancelled, Confirmed, Completed).</t>
        </is>
      </c>
    </row>
    <row r="15" ht="42" customHeight="1" s="26">
      <c r="A15" s="41" t="inlineStr">
        <is>
          <t>C-11</t>
        </is>
      </c>
      <c r="B15" s="31" t="inlineStr">
        <is>
          <t>نجوم التقييم</t>
        </is>
      </c>
      <c r="C15" s="31" t="inlineStr">
        <is>
          <t>components/ui/star-rating.tsx</t>
        </is>
      </c>
      <c r="D15" s="31" t="inlineStr">
        <is>
          <t>props: { value: number; onChange?(v:number): void; readOnly?: boolean }</t>
        </is>
      </c>
      <c r="E15" s="31" t="inlineStr">
        <is>
          <t>WP-00</t>
        </is>
      </c>
      <c r="F15" s="31" t="inlineStr">
        <is>
          <t>WP-S4, WP-T5</t>
        </is>
      </c>
      <c r="G15" s="31" t="n"/>
    </row>
    <row r="16" ht="42" customHeight="1" s="26">
      <c r="A16" s="41" t="inlineStr">
        <is>
          <t>C-12</t>
        </is>
      </c>
      <c r="B16" s="31" t="inlineStr">
        <is>
          <t>تبويبات مقسّمة</t>
        </is>
      </c>
      <c r="C16" s="31" t="inlineStr">
        <is>
          <t>components/ui/segmented-tabs.tsx</t>
        </is>
      </c>
      <c r="D16" s="31" t="inlineStr">
        <is>
          <t>props: { value: string; onChange(v:string): void; items: {value:string; label:string; disabled?:boolean}[] }</t>
        </is>
      </c>
      <c r="E16" s="31" t="inlineStr">
        <is>
          <t>WP-00</t>
        </is>
      </c>
      <c r="F16" s="31" t="inlineStr">
        <is>
          <t>WP-T1, WP-T5</t>
        </is>
      </c>
      <c r="G16" s="31" t="n"/>
    </row>
    <row r="17" ht="42" customHeight="1" s="26">
      <c r="A17" s="41" t="inlineStr">
        <is>
          <t>C-13</t>
        </is>
      </c>
      <c r="B17" s="31" t="inlineStr">
        <is>
          <t>نافذة تأكيد</t>
        </is>
      </c>
      <c r="C17" s="31" t="inlineStr">
        <is>
          <t>components/app/confirm-dialog.tsx</t>
        </is>
      </c>
      <c r="D17" s="31" t="inlineStr">
        <is>
          <t>props: { open; onOpenChange; title; description; confirmLabel; onConfirm; loading?; destructive? }</t>
        </is>
      </c>
      <c r="E17" s="31" t="inlineStr">
        <is>
          <t>WP-00</t>
        </is>
      </c>
      <c r="F17" s="31" t="inlineStr">
        <is>
          <t>كل WP</t>
        </is>
      </c>
      <c r="G17" s="31" t="n"/>
    </row>
    <row r="18" ht="42" customHeight="1" s="26">
      <c r="A18" s="41" t="inlineStr">
        <is>
          <t>C-14</t>
        </is>
      </c>
      <c r="B18" s="31" t="inlineStr">
        <is>
          <t>نتيجة العملية</t>
        </is>
      </c>
      <c r="C18" s="31" t="inlineStr">
        <is>
          <t>integrations/backend/op-result.ts</t>
        </is>
      </c>
      <c r="D18" s="31" t="inlineStr">
        <is>
          <t>assertOk(result: OperationResult, fallbackAr: string, fallbackEn: string): void</t>
        </is>
      </c>
      <c r="E18" s="31" t="inlineStr">
        <is>
          <t>WP-00</t>
        </is>
      </c>
      <c r="F18" s="31" t="inlineStr">
        <is>
          <t>كل WP</t>
        </is>
      </c>
      <c r="G18" s="31" t="inlineStr">
        <is>
          <t>كل POST/PUT يرجع OperationResult {success, message, returnId..}. تحقق منه دائمًا.</t>
        </is>
      </c>
    </row>
    <row r="19" ht="42" customHeight="1" s="26">
      <c r="A19" s="41" t="inlineStr">
        <is>
          <t>C-15</t>
        </is>
      </c>
      <c r="B19" s="31" t="inlineStr">
        <is>
          <t>قواعد أهلية الحجز</t>
        </is>
      </c>
      <c r="C19" s="31" t="inlineStr">
        <is>
          <t>lib/booking-rules.ts</t>
        </is>
      </c>
      <c r="D19" s="31" t="inlineStr">
        <is>
          <t>canCancel(b) / canReschedule(b) / canRate(b): boolean</t>
        </is>
      </c>
      <c r="E19" s="31" t="inlineStr">
        <is>
          <t>WP-00</t>
        </is>
      </c>
      <c r="F19" s="31" t="inlineStr">
        <is>
          <t>WP-S2, S3, S4</t>
        </is>
      </c>
      <c r="G19" s="31" t="inlineStr">
        <is>
          <t>الباك اند هو المرجع النهائي؛ هذه فقط لإخفاء/إظهار الأزرار.</t>
        </is>
      </c>
    </row>
    <row r="20" ht="42" customHeight="1" s="26">
      <c r="A20" s="41" t="inlineStr">
        <is>
          <t>C-16</t>
        </is>
      </c>
      <c r="B20" s="31" t="inlineStr">
        <is>
          <t>مفاتيح react-query</t>
        </is>
      </c>
      <c r="C20" s="31" t="inlineStr">
        <is>
          <t>lib/query-keys.ts</t>
        </is>
      </c>
      <c r="D20" s="31" t="inlineStr">
        <is>
          <t>qk.studentBooking(id) .. + invalidateBookingQueries(qc, id?)</t>
        </is>
      </c>
      <c r="E20" s="31" t="inlineStr">
        <is>
          <t>WP-00</t>
        </is>
      </c>
      <c r="F20" s="31" t="inlineStr">
        <is>
          <t>كل WP</t>
        </is>
      </c>
      <c r="G20" s="31" t="inlineStr">
        <is>
          <t>ممنوع ابتكار مفاتيح جديدة خارج الملف.</t>
        </is>
      </c>
    </row>
    <row r="21" ht="42" customHeight="1" s="26">
      <c r="A21" s="41" t="inlineStr">
        <is>
          <t>C-17</t>
        </is>
      </c>
      <c r="B21" s="31" t="inlineStr">
        <is>
          <t>إعادة استخدام Guard keys (بدون إضافة PAGES)</t>
        </is>
      </c>
      <c r="C21" s="31" t="inlineStr">
        <is>
          <t>—</t>
        </is>
      </c>
      <c r="D21" s="31" t="inlineStr">
        <is>
          <t>lesson.$id→student_schedule | enrolled-course.$id→student_my_courses | booking.$id→student_my_courses | book.$teacherId→student_my_courses | teacher.course.$id→teacher_courses</t>
        </is>
      </c>
      <c r="E21" s="31" t="inlineStr">
        <is>
          <t>WP-00</t>
        </is>
      </c>
      <c r="F21" s="31" t="inlineStr">
        <is>
          <t>WP-S1,S2,S5,S6,T1</t>
        </is>
      </c>
      <c r="G21" s="31" t="inlineStr">
        <is>
          <t>الصفحات الجديدة بالتنقّل: student_attendance, student_exam_results, student_progress, teacher_bookings فقط.</t>
        </is>
      </c>
    </row>
    <row r="22" ht="42" customHeight="1" s="26">
      <c r="A22" s="41" t="inlineStr">
        <is>
          <t>C-18</t>
        </is>
      </c>
      <c r="B22" s="31" t="inlineStr">
        <is>
          <t>مسارات (URLs) متفق عليها</t>
        </is>
      </c>
      <c r="C22" s="31" t="inlineStr">
        <is>
          <t>—</t>
        </is>
      </c>
      <c r="D22" s="31" t="inlineStr">
        <is>
          <t>/teacher/course/$id (id أو new) | /teacher/bookings | /book/$teacherId | /booking/$id | /lesson/$id | /enrolled-course/$id | /attendance | /exam-results | /progress</t>
        </is>
      </c>
      <c r="E22" s="31" t="inlineStr">
        <is>
          <t>WP-00</t>
        </is>
      </c>
      <c r="F22" s="31" t="inlineStr">
        <is>
          <t>كل WP</t>
        </is>
      </c>
      <c r="G22" s="31" t="inlineStr">
        <is>
          <t>أسماء مفردة (course/booking/lesson) لتجنّب nesting مع my-courses/teacher.courses. أي اسم آخر عبر CR.</t>
        </is>
      </c>
    </row>
    <row r="23" ht="42" customHeight="1" s="26">
      <c r="A23" s="41" t="inlineStr">
        <is>
          <t>C-19</t>
        </is>
      </c>
      <c r="B23" s="31" t="inlineStr">
        <is>
          <t>Props لـ WalletBalancePanel</t>
        </is>
      </c>
      <c r="C23" s="31" t="inlineStr">
        <is>
          <t>components/wallet/wallet-balance-panel.tsx</t>
        </is>
      </c>
      <c r="D23" s="31" t="inlineStr">
        <is>
          <t>الحالية: { actionSlot? } — الإضافات اختيارية فقط</t>
        </is>
      </c>
      <c r="E23" s="31" t="inlineStr">
        <is>
          <t>WP-W1</t>
        </is>
      </c>
      <c r="F23" s="31" t="inlineStr">
        <is>
          <t>WP-W2 (+ wallet.tsx)</t>
        </is>
      </c>
      <c r="G23" s="31" t="inlineStr">
        <is>
          <t>W2 لا يعدّل الملف؛ يبني لوحته داخل teacher.earnings.tsx.</t>
        </is>
      </c>
    </row>
    <row r="24" ht="42" customHeight="1" s="26">
      <c r="A24" s="41" t="inlineStr">
        <is>
          <t>C-20</t>
        </is>
      </c>
      <c r="B24" s="31" t="inlineStr">
        <is>
          <t>أنواع الردود المؤقتة</t>
        </is>
      </c>
      <c r="C24" s="31" t="inlineStr">
        <is>
          <t>integrations/backend/pending-json.ts</t>
        </is>
      </c>
      <c r="D24" s="31" t="inlineStr">
        <is>
          <t>PendingResponse = { id?: number } &amp; Record&lt;string, unknown&gt; — كل رد غير موثّق بالـSwagger يُصدَّر باسمه المتفق عليه كـ alias لهذا النوع (// PENDING-JSON)</t>
        </is>
      </c>
      <c r="E24" s="31" t="inlineStr">
        <is>
          <t>WP-00 → WP-J</t>
        </is>
      </c>
      <c r="F24" s="31" t="inlineStr">
        <is>
          <t>كل Wave 1</t>
        </is>
      </c>
      <c r="G24" s="31" t="inlineStr">
        <is>
          <t>الأسماء: StudentBookingDetail, StudentBookingPayment, StudentRescheduleRequest, StudentLessonDetail, StudentCourseDetail, StudentAttendanceRow, StudentExamResultRow, TeacherCourseDetail, GroupStudentRow, TeacherBookingRow, TeacherRescheduleRequestRow. لا تقرأ حقولًا منها قبل J (العمود «يعتمد على JSON؟»).</t>
        </is>
      </c>
    </row>
    <row r="25" ht="42" customHeight="1" s="26">
      <c r="A25" s="41" t="inlineStr">
        <is>
          <t>C-21</t>
        </is>
      </c>
      <c r="B25" s="31" t="inlineStr">
        <is>
          <t>enums.ts</t>
        </is>
      </c>
      <c r="C25" s="31" t="inlineStr">
        <is>
          <t>lib/enums.ts</t>
        </is>
      </c>
      <c r="D25" s="31" t="inlineStr">
        <is>
          <t>BookingStatus={Pending:1,Accepted:2,Rejected:3,Cancelled:4,Confirmed:5,Completed:6} · bookingStatusLabel(s,bi) · bookingStatusTone(s) · DeliveryType={InPerson:1,Online:2} · MeetingPlatform={Zoom:1,GoogleMeet:2,MicrosoftTeams:3,Other:4}(+label) · AttendanceStatus={Present:1,Absent:2,Late:3,Excused:4}(+label/tone) · DayOfWeek(+label) · type Bi=&lt;T&gt;(ar:T,en:T)=&gt;T. RescheduleStatus يُضاف في J-02 (الأسماء غير موثّقة).</t>
        </is>
      </c>
      <c r="E25" s="31" t="inlineStr">
        <is>
          <t>WP-00</t>
        </is>
      </c>
      <c r="F25" s="31" t="inlineStr">
        <is>
          <t>كل Wave 1</t>
        </is>
      </c>
      <c r="G25" s="31" t="n"/>
    </row>
    <row r="26" ht="42" customHeight="1" s="26">
      <c r="A26" s="41" t="inlineStr">
        <is>
          <t>C-22</t>
        </is>
      </c>
      <c r="B26" s="31" t="inlineStr">
        <is>
          <t>op-result.ts</t>
        </is>
      </c>
      <c r="C26" s="31" t="inlineStr">
        <is>
          <t>integrations/backend/op-result.ts</t>
        </is>
      </c>
      <c r="D26" s="31" t="inlineStr">
        <is>
          <t>interface OperationResult {success:boolean; message?:string|null; returnId?:number|null} · assertOk(result, fallbackAr, fallbackEn): void</t>
        </is>
      </c>
      <c r="E26" s="31" t="inlineStr">
        <is>
          <t>WP-00</t>
        </is>
      </c>
      <c r="F26" s="31" t="inlineStr">
        <is>
          <t>كل Wave 1</t>
        </is>
      </c>
      <c r="G26" s="31" t="n"/>
    </row>
    <row r="27" ht="42" customHeight="1" s="26">
      <c r="A27" s="28" t="n"/>
      <c r="B27" s="28" t="n"/>
      <c r="C27" s="28" t="n"/>
      <c r="D27" s="28" t="n"/>
      <c r="E27" s="28" t="n"/>
      <c r="F27" s="28" t="n"/>
      <c r="G27" s="28" t="n"/>
    </row>
    <row r="28" ht="42" customHeight="1" s="26">
      <c r="A28" s="28" t="n"/>
      <c r="B28" s="28" t="n"/>
      <c r="C28" s="28" t="n"/>
      <c r="D28" s="28" t="n"/>
      <c r="E28" s="28" t="n"/>
      <c r="F28" s="28" t="n"/>
      <c r="G28" s="28" t="n"/>
    </row>
    <row r="29" ht="42" customHeight="1" s="26">
      <c r="A29" s="44" t="inlineStr">
        <is>
          <t>سجل مفاتيح react-query (مصدرها lib/query-keys.ts — WP-00)</t>
        </is>
      </c>
      <c r="B29" s="28" t="n"/>
      <c r="C29" s="28" t="n"/>
      <c r="D29" s="28" t="n"/>
      <c r="E29" s="28" t="n"/>
      <c r="F29" s="28" t="n"/>
      <c r="G29" s="28" t="n"/>
    </row>
    <row r="30" ht="42" customHeight="1" s="26">
      <c r="A30" s="38" t="inlineStr">
        <is>
          <t>المفتاح</t>
        </is>
      </c>
      <c r="B30" s="38" t="inlineStr">
        <is>
          <t>النوع</t>
        </is>
      </c>
      <c r="C30" s="38" t="inlineStr">
        <is>
          <t>المعاملات</t>
        </is>
      </c>
      <c r="D30" s="38" t="inlineStr">
        <is>
          <t>يستخدمه</t>
        </is>
      </c>
      <c r="E30" s="38" t="inlineStr">
        <is>
          <t>يُبطَل بعد</t>
        </is>
      </c>
      <c r="F30" s="28" t="n"/>
      <c r="G30" s="28" t="n"/>
    </row>
    <row r="31" ht="42" customHeight="1" s="26">
      <c r="A31" s="31" t="inlineStr">
        <is>
          <t>student-dashboard</t>
        </is>
      </c>
      <c r="B31" s="31" t="inlineStr">
        <is>
          <t>موجود</t>
        </is>
      </c>
      <c r="C31" s="31" t="inlineStr">
        <is>
          <t>—</t>
        </is>
      </c>
      <c r="D31" s="31" t="inlineStr">
        <is>
          <t>dashboard</t>
        </is>
      </c>
      <c r="E31" s="31" t="inlineStr">
        <is>
          <t>إرسال/إلغاء حجز</t>
        </is>
      </c>
      <c r="F31" s="28" t="n"/>
      <c r="G31" s="28" t="n"/>
    </row>
    <row r="32" ht="42" customHeight="1" s="26">
      <c r="A32" s="31" t="inlineStr">
        <is>
          <t>student-my-bookings</t>
        </is>
      </c>
      <c r="B32" s="31" t="inlineStr">
        <is>
          <t>موجود</t>
        </is>
      </c>
      <c r="C32" s="31" t="inlineStr">
        <is>
          <t>—</t>
        </is>
      </c>
      <c r="D32" s="31" t="inlineStr">
        <is>
          <t>كورساتي</t>
        </is>
      </c>
      <c r="E32" s="31" t="inlineStr">
        <is>
          <t>إرسال/قرار/إلغاء/إعادة جدولة/تقييم</t>
        </is>
      </c>
      <c r="F32" s="28" t="n"/>
      <c r="G32" s="28" t="n"/>
    </row>
    <row r="33" ht="42" customHeight="1" s="26">
      <c r="A33" s="31" t="inlineStr">
        <is>
          <t>student-my-requests</t>
        </is>
      </c>
      <c r="B33" s="31" t="inlineStr">
        <is>
          <t>موجود</t>
        </is>
      </c>
      <c r="C33" s="31" t="inlineStr">
        <is>
          <t>status?</t>
        </is>
      </c>
      <c r="D33" s="31" t="inlineStr">
        <is>
          <t>كورساتي</t>
        </is>
      </c>
      <c r="E33" s="31" t="inlineStr">
        <is>
          <t>إرسال/قرار/إلغاء</t>
        </is>
      </c>
      <c r="F33" s="28" t="n"/>
      <c r="G33" s="28" t="n"/>
    </row>
    <row r="34" ht="42" customHeight="1" s="26">
      <c r="A34" s="31" t="inlineStr">
        <is>
          <t>student-schedule</t>
        </is>
      </c>
      <c r="B34" s="31" t="inlineStr">
        <is>
          <t>موجود</t>
        </is>
      </c>
      <c r="C34" s="31" t="inlineStr">
        <is>
          <t>filter</t>
        </is>
      </c>
      <c r="D34" s="31" t="inlineStr">
        <is>
          <t>الجدول</t>
        </is>
      </c>
      <c r="E34" s="31" t="inlineStr">
        <is>
          <t>قرار/إلغاء/إعادة جدولة/إلغاء درس</t>
        </is>
      </c>
      <c r="F34" s="28" t="n"/>
      <c r="G34" s="28" t="n"/>
    </row>
    <row r="35" ht="42" customHeight="1" s="26">
      <c r="A35" s="31" t="inlineStr">
        <is>
          <t>student-notifications</t>
        </is>
      </c>
      <c r="B35" s="31" t="inlineStr">
        <is>
          <t>موجود</t>
        </is>
      </c>
      <c r="C35" s="31" t="inlineStr">
        <is>
          <t>—</t>
        </is>
      </c>
      <c r="D35" s="31" t="inlineStr">
        <is>
          <t>الإشعارات</t>
        </is>
      </c>
      <c r="E35" s="31" t="inlineStr">
        <is>
          <t>—</t>
        </is>
      </c>
      <c r="F35" s="28" t="n"/>
      <c r="G35" s="28" t="n"/>
    </row>
    <row r="36" ht="42" customHeight="1" s="26">
      <c r="A36" s="31" t="inlineStr">
        <is>
          <t>my-wallet / my-wallet-history</t>
        </is>
      </c>
      <c r="B36" s="31" t="inlineStr">
        <is>
          <t>موجود</t>
        </is>
      </c>
      <c r="C36" s="31" t="inlineStr">
        <is>
          <t>page</t>
        </is>
      </c>
      <c r="D36" s="31" t="inlineStr">
        <is>
          <t>المحفظة</t>
        </is>
      </c>
      <c r="E36" s="31" t="inlineStr">
        <is>
          <t>قبول حجز (خصم)/إلغاء (استرجاع)</t>
        </is>
      </c>
      <c r="F36" s="28" t="n"/>
      <c r="G36" s="28" t="n"/>
    </row>
    <row r="37" ht="42" customHeight="1" s="26">
      <c r="A37" s="31" t="inlineStr">
        <is>
          <t>parent-children / parent-child-attendance / parent-child-exams</t>
        </is>
      </c>
      <c r="B37" s="31" t="inlineStr">
        <is>
          <t>موجود</t>
        </is>
      </c>
      <c r="C37" s="31" t="inlineStr">
        <is>
          <t>studentId</t>
        </is>
      </c>
      <c r="D37" s="31" t="inlineStr">
        <is>
          <t>تقرير ولي الأمر</t>
        </is>
      </c>
      <c r="E37" s="31" t="inlineStr">
        <is>
          <t>—</t>
        </is>
      </c>
      <c r="F37" s="28" t="n"/>
      <c r="G37" s="28" t="n"/>
    </row>
    <row r="38" ht="42" customHeight="1" s="26">
      <c r="A38" s="31" t="inlineStr">
        <is>
          <t>backend-teacher-profile / backend-teacher-availability</t>
        </is>
      </c>
      <c r="B38" s="31" t="inlineStr">
        <is>
          <t>موجود</t>
        </is>
      </c>
      <c r="C38" s="31" t="inlineStr">
        <is>
          <t>teacherId</t>
        </is>
      </c>
      <c r="D38" s="31" t="inlineStr">
        <is>
          <t>صفحة المعلم + شاشة الحجز</t>
        </is>
      </c>
      <c r="E38" s="31" t="inlineStr">
        <is>
          <t>تقييم (profile)</t>
        </is>
      </c>
      <c r="F38" s="28" t="n"/>
      <c r="G38" s="28" t="n"/>
    </row>
    <row r="39" ht="42" customHeight="1" s="26">
      <c r="A39" s="31" t="inlineStr">
        <is>
          <t>published-courses</t>
        </is>
      </c>
      <c r="B39" s="31" t="inlineStr">
        <is>
          <t>موجود</t>
        </is>
      </c>
      <c r="C39" s="31" t="inlineStr">
        <is>
          <t>—</t>
        </is>
      </c>
      <c r="D39" s="31" t="inlineStr">
        <is>
          <t>الكتالوج العام</t>
        </is>
      </c>
      <c r="E39" s="31" t="inlineStr">
        <is>
          <t>—</t>
        </is>
      </c>
      <c r="F39" s="28" t="n"/>
      <c r="G39" s="28" t="n"/>
    </row>
    <row r="40" ht="42" customHeight="1" s="26">
      <c r="A40" s="31" t="inlineStr">
        <is>
          <t>student-booking</t>
        </is>
      </c>
      <c r="B40" s="31" t="inlineStr">
        <is>
          <t>جديد</t>
        </is>
      </c>
      <c r="C40" s="31" t="inlineStr">
        <is>
          <t>id</t>
        </is>
      </c>
      <c r="D40" s="31" t="inlineStr">
        <is>
          <t>booking.$id (WP-S2/S3/S4/W1)</t>
        </is>
      </c>
      <c r="E40" s="31" t="inlineStr">
        <is>
          <t>كل إجراء على الحجز</t>
        </is>
      </c>
      <c r="F40" s="28" t="n"/>
      <c r="G40" s="28" t="n"/>
    </row>
    <row r="41" ht="42" customHeight="1" s="26">
      <c r="A41" s="31" t="inlineStr">
        <is>
          <t>student-booking-payment</t>
        </is>
      </c>
      <c r="B41" s="31" t="inlineStr">
        <is>
          <t>جديد</t>
        </is>
      </c>
      <c r="C41" s="31" t="inlineStr">
        <is>
          <t>bookingId</t>
        </is>
      </c>
      <c r="D41" s="31" t="inlineStr">
        <is>
          <t>booking-payment-card (W1)</t>
        </is>
      </c>
      <c r="E41" s="31" t="inlineStr">
        <is>
          <t>قرار المعلم/إلغاء</t>
        </is>
      </c>
      <c r="F41" s="28" t="n"/>
      <c r="G41" s="28" t="n"/>
    </row>
    <row r="42" ht="42" customHeight="1" s="26">
      <c r="A42" s="31" t="inlineStr">
        <is>
          <t>student-reschedule-requests</t>
        </is>
      </c>
      <c r="B42" s="31" t="inlineStr">
        <is>
          <t>جديد</t>
        </is>
      </c>
      <c r="C42" s="31" t="inlineStr">
        <is>
          <t>—</t>
        </is>
      </c>
      <c r="D42" s="31" t="inlineStr">
        <is>
          <t>reschedule-requests-panel (S3)</t>
        </is>
      </c>
      <c r="E42" s="31" t="inlineStr">
        <is>
          <t>طلب إعادة جدولة / قرار المعلم</t>
        </is>
      </c>
      <c r="F42" s="28" t="n"/>
      <c r="G42" s="28" t="n"/>
    </row>
    <row r="43" ht="42" customHeight="1" s="26">
      <c r="A43" s="31" t="inlineStr">
        <is>
          <t>student-lesson</t>
        </is>
      </c>
      <c r="B43" s="31" t="inlineStr">
        <is>
          <t>جديد</t>
        </is>
      </c>
      <c r="C43" s="31" t="inlineStr">
        <is>
          <t>id</t>
        </is>
      </c>
      <c r="D43" s="31" t="inlineStr">
        <is>
          <t>lesson.$id (S5)</t>
        </is>
      </c>
      <c r="E43" s="31" t="inlineStr">
        <is>
          <t>—</t>
        </is>
      </c>
      <c r="F43" s="28" t="n"/>
      <c r="G43" s="28" t="n"/>
    </row>
    <row r="44" ht="42" customHeight="1" s="26">
      <c r="A44" s="31" t="inlineStr">
        <is>
          <t>student-course</t>
        </is>
      </c>
      <c r="B44" s="31" t="inlineStr">
        <is>
          <t>جديد</t>
        </is>
      </c>
      <c r="C44" s="31" t="inlineStr">
        <is>
          <t>id</t>
        </is>
      </c>
      <c r="D44" s="31" t="inlineStr">
        <is>
          <t>enrolled-course.$id (S6)</t>
        </is>
      </c>
      <c r="E44" s="31" t="inlineStr">
        <is>
          <t>—</t>
        </is>
      </c>
      <c r="F44" s="28" t="n"/>
      <c r="G44" s="28" t="n"/>
    </row>
    <row r="45" ht="42" customHeight="1" s="26">
      <c r="A45" s="31" t="inlineStr">
        <is>
          <t>student-attendance</t>
        </is>
      </c>
      <c r="B45" s="31" t="inlineStr">
        <is>
          <t>جديد</t>
        </is>
      </c>
      <c r="C45" s="31" t="inlineStr">
        <is>
          <t>from,to,courseId</t>
        </is>
      </c>
      <c r="D45" s="31" t="inlineStr">
        <is>
          <t>attendance (S7)</t>
        </is>
      </c>
      <c r="E45" s="31" t="inlineStr">
        <is>
          <t>—</t>
        </is>
      </c>
      <c r="F45" s="28" t="n"/>
      <c r="G45" s="28" t="n"/>
    </row>
    <row r="46" ht="42" customHeight="1" s="26">
      <c r="A46" s="31" t="inlineStr">
        <is>
          <t>student-exam-results</t>
        </is>
      </c>
      <c r="B46" s="31" t="inlineStr">
        <is>
          <t>جديد</t>
        </is>
      </c>
      <c r="C46" s="31" t="inlineStr">
        <is>
          <t>courseId</t>
        </is>
      </c>
      <c r="D46" s="31" t="inlineStr">
        <is>
          <t>exam-results (S8)</t>
        </is>
      </c>
      <c r="E46" s="31" t="inlineStr">
        <is>
          <t>—</t>
        </is>
      </c>
      <c r="F46" s="28" t="n"/>
      <c r="G46" s="28" t="n"/>
    </row>
    <row r="47" ht="42" customHeight="1" s="26">
      <c r="A47" s="31" t="inlineStr">
        <is>
          <t>student-progress</t>
        </is>
      </c>
      <c r="B47" s="31" t="inlineStr">
        <is>
          <t>جديد</t>
        </is>
      </c>
      <c r="C47" s="31" t="inlineStr">
        <is>
          <t>—</t>
        </is>
      </c>
      <c r="D47" s="31" t="inlineStr">
        <is>
          <t>progress (S9)</t>
        </is>
      </c>
      <c r="E47" s="31" t="inlineStr">
        <is>
          <t>—</t>
        </is>
      </c>
      <c r="F47" s="28" t="n"/>
      <c r="G47" s="28" t="n"/>
    </row>
    <row r="48" ht="42" customHeight="1" s="26">
      <c r="A48" s="31" t="inlineStr">
        <is>
          <t>teacher-bookings</t>
        </is>
      </c>
      <c r="B48" s="31" t="inlineStr">
        <is>
          <t>جديد</t>
        </is>
      </c>
      <c r="C48" s="31" t="inlineStr">
        <is>
          <t>status</t>
        </is>
      </c>
      <c r="D48" s="31" t="inlineStr">
        <is>
          <t>teacher.bookings (T5)</t>
        </is>
      </c>
      <c r="E48" s="31" t="inlineStr">
        <is>
          <t>قرار/إنهاء</t>
        </is>
      </c>
      <c r="F48" s="28" t="n"/>
      <c r="G48" s="28" t="n"/>
    </row>
    <row r="49" ht="42" customHeight="1" s="26">
      <c r="A49" s="31" t="inlineStr">
        <is>
          <t>teacher-reschedule-requests</t>
        </is>
      </c>
      <c r="B49" s="31" t="inlineStr">
        <is>
          <t>جديد</t>
        </is>
      </c>
      <c r="C49" s="31" t="inlineStr">
        <is>
          <t>status</t>
        </is>
      </c>
      <c r="D49" s="31" t="inlineStr">
        <is>
          <t>teacher.bookings (T5)</t>
        </is>
      </c>
      <c r="E49" s="31" t="inlineStr">
        <is>
          <t>قرار إعادة الجدولة</t>
        </is>
      </c>
      <c r="F49" s="28" t="n"/>
      <c r="G49" s="28" t="n"/>
    </row>
    <row r="50" ht="42" customHeight="1" s="26">
      <c r="A50" s="31" t="inlineStr">
        <is>
          <t>teacher-courses</t>
        </is>
      </c>
      <c r="B50" s="31" t="inlineStr">
        <is>
          <t>جديد</t>
        </is>
      </c>
      <c r="C50" s="31" t="inlineStr">
        <is>
          <t>—</t>
        </is>
      </c>
      <c r="D50" s="31" t="inlineStr">
        <is>
          <t>teacher.courses (T1)</t>
        </is>
      </c>
      <c r="E50" s="31" t="inlineStr">
        <is>
          <t>إنشاء/تعديل كورس</t>
        </is>
      </c>
      <c r="F50" s="28" t="n"/>
      <c r="G50" s="28" t="n"/>
    </row>
    <row r="51" ht="42" customHeight="1" s="26">
      <c r="A51" s="31" t="inlineStr">
        <is>
          <t>teacher-course</t>
        </is>
      </c>
      <c r="B51" s="31" t="inlineStr">
        <is>
          <t>جديد</t>
        </is>
      </c>
      <c r="C51" s="31" t="inlineStr">
        <is>
          <t>id</t>
        </is>
      </c>
      <c r="D51" s="31" t="inlineStr">
        <is>
          <t>teacher.course.$id + التبويبات</t>
        </is>
      </c>
      <c r="E51" s="31" t="inlineStr">
        <is>
          <t>حفظ تفاصيل/جدول</t>
        </is>
      </c>
      <c r="F51" s="28" t="n"/>
      <c r="G51" s="28" t="n"/>
    </row>
    <row r="52" ht="42" customHeight="1" s="26">
      <c r="A52" s="31" t="inlineStr">
        <is>
          <t>teacher-group-students</t>
        </is>
      </c>
      <c r="B52" s="31" t="inlineStr">
        <is>
          <t>جديد</t>
        </is>
      </c>
      <c r="C52" s="31" t="inlineStr">
        <is>
          <t>groupId,keyword</t>
        </is>
      </c>
      <c r="D52" s="31" t="inlineStr">
        <is>
          <t>group-students-tab (T3)</t>
        </is>
      </c>
      <c r="E52" s="31" t="inlineStr">
        <is>
          <t>—</t>
        </is>
      </c>
      <c r="F52" s="28" t="n"/>
      <c r="G52" s="28" t="n"/>
    </row>
    <row r="53" ht="42" customHeight="1" s="26">
      <c r="A53" s="31" t="inlineStr">
        <is>
          <t>teacher-lessons</t>
        </is>
      </c>
      <c r="B53" s="31" t="inlineStr">
        <is>
          <t>جديد</t>
        </is>
      </c>
      <c r="C53" s="31" t="inlineStr">
        <is>
          <t>courseId,groupId</t>
        </is>
      </c>
      <c r="D53" s="31" t="inlineStr">
        <is>
          <t>lessons-tab (T4)</t>
        </is>
      </c>
      <c r="E53" s="31" t="inlineStr">
        <is>
          <t>إنشاء/تعديل/إلغاء درس + إعداد المجموعة</t>
        </is>
      </c>
      <c r="F53" s="28" t="n"/>
      <c r="G53" s="2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00B0F0"/>
    <outlinePr summaryBelow="1" summaryRight="1"/>
    <pageSetUpPr fitToPage="0"/>
  </sheetPr>
  <dimension ref="A1:M57"/>
  <sheetViews>
    <sheetView showFormulas="0" showGridLines="1" showRowColHeaders="1" showZeros="1" rightToLeft="1"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5" customWidth="1" style="25" min="1" max="1"/>
    <col width="12" customWidth="1" style="25" min="2" max="2"/>
    <col width="8" customWidth="1" style="25" min="3" max="3"/>
    <col width="40" customWidth="1" style="25" min="4" max="4"/>
    <col width="56" customWidth="1" style="25" min="5" max="5"/>
    <col width="20" customWidth="1" style="25" min="6" max="6"/>
    <col width="24" customWidth="1" style="25" min="7" max="7"/>
    <col width="16" customWidth="1" style="25" min="8" max="8"/>
    <col width="14" customWidth="1" style="25" min="9" max="9"/>
    <col width="18" customWidth="1" style="25" min="10" max="10"/>
    <col width="11" customWidth="1" style="25" min="11" max="12"/>
    <col width="36" customWidth="1" style="25" min="13" max="13"/>
  </cols>
  <sheetData>
    <row r="1" ht="42" customHeight="1" s="26">
      <c r="A1" s="27" t="inlineStr">
        <is>
          <t>خريطة الـ API (Swagger ↔ الكود)</t>
        </is>
      </c>
      <c r="B1" s="28" t="n"/>
      <c r="C1" s="28" t="n"/>
      <c r="D1" s="28" t="n"/>
      <c r="E1" s="28" t="n"/>
      <c r="F1" s="28" t="n"/>
      <c r="G1" s="28" t="n"/>
      <c r="H1" s="28" t="n"/>
      <c r="I1" s="28" t="n"/>
      <c r="J1" s="28" t="n"/>
      <c r="K1" s="28" t="n"/>
      <c r="L1" s="28" t="n"/>
      <c r="M1" s="28" t="n"/>
    </row>
    <row r="2" ht="42" customHeight="1" s="26">
      <c r="A2" s="32" t="inlineStr">
        <is>
          <t>المصدر: Swagger_UI.pdf. «جاهز» = توجد دالة بالكود (لم تُجرَّب على الباك اند الحي). «عينة مطلوبة»: Swagger لا يوثّق schema الرد → المستخدم يلصق JSON حقيقيًا ثم يضع «نعم» في «وصلت العينة».</t>
        </is>
      </c>
      <c r="B2" s="28" t="n"/>
      <c r="C2" s="28" t="n"/>
      <c r="D2" s="28" t="n"/>
      <c r="E2" s="28" t="n"/>
      <c r="F2" s="28" t="n"/>
      <c r="G2" s="28" t="n"/>
      <c r="H2" s="28" t="n"/>
      <c r="I2" s="28" t="n"/>
      <c r="J2" s="28" t="n"/>
      <c r="K2" s="28" t="n"/>
      <c r="L2" s="28" t="n"/>
      <c r="M2" s="28" t="n"/>
    </row>
    <row r="3" ht="42" customHeight="1" s="26">
      <c r="A3" s="28" t="n"/>
      <c r="B3" s="28" t="n"/>
      <c r="C3" s="28" t="n"/>
      <c r="D3" s="28" t="n"/>
      <c r="E3" s="28" t="n"/>
      <c r="F3" s="28" t="n"/>
      <c r="G3" s="28" t="n"/>
      <c r="H3" s="28" t="n"/>
      <c r="I3" s="28" t="n"/>
      <c r="J3" s="28" t="n"/>
      <c r="K3" s="28" t="n"/>
      <c r="L3" s="28" t="n"/>
      <c r="M3" s="28" t="n"/>
    </row>
    <row r="4" ht="42" customHeight="1" s="26">
      <c r="A4" s="40" t="inlineStr">
        <is>
          <t>#</t>
        </is>
      </c>
      <c r="B4" s="40" t="inlineStr">
        <is>
          <t>Controller</t>
        </is>
      </c>
      <c r="C4" s="40" t="inlineStr">
        <is>
          <t>Method</t>
        </is>
      </c>
      <c r="D4" s="40" t="inlineStr">
        <is>
          <t>Path</t>
        </is>
      </c>
      <c r="E4" s="40" t="inlineStr">
        <is>
          <t>المعاملات / Body</t>
        </is>
      </c>
      <c r="F4" s="40" t="inlineStr">
        <is>
          <t>الرد الموثّق</t>
        </is>
      </c>
      <c r="G4" s="40" t="inlineStr">
        <is>
          <t>الدالة بالكود</t>
        </is>
      </c>
      <c r="H4" s="40" t="inlineStr">
        <is>
          <t>الملف</t>
        </is>
      </c>
      <c r="I4" s="40" t="inlineStr">
        <is>
          <t>حالة الربط</t>
        </is>
      </c>
      <c r="J4" s="40" t="inlineStr">
        <is>
          <t>يستخدمه</t>
        </is>
      </c>
      <c r="K4" s="40" t="inlineStr">
        <is>
          <t>عينة مطلوبة؟</t>
        </is>
      </c>
      <c r="L4" s="40" t="inlineStr">
        <is>
          <t>وصلت العينة؟</t>
        </is>
      </c>
      <c r="M4" s="40" t="inlineStr">
        <is>
          <t>ملاحظات</t>
        </is>
      </c>
    </row>
    <row r="5" ht="42" customHeight="1" s="26">
      <c r="A5" s="31" t="n">
        <v>1</v>
      </c>
      <c r="B5" s="31" t="inlineStr">
        <is>
          <t>Booking</t>
        </is>
      </c>
      <c r="C5" s="31" t="inlineStr">
        <is>
          <t>POST</t>
        </is>
      </c>
      <c r="D5" s="31" t="inlineStr">
        <is>
          <t>/api/Booking/Submit</t>
        </is>
      </c>
      <c r="E5" s="31" t="inlineStr">
        <is>
          <t>body: teacherId, subjectId, gradeId, teachingMode(1|2), date, startTime, durationMinutes(مثال 480), studentNote</t>
        </is>
      </c>
      <c r="F5" s="31" t="inlineStr">
        <is>
          <t>OperationResult</t>
        </is>
      </c>
      <c r="G5" s="31" t="inlineStr">
        <is>
          <t>submitBooking</t>
        </is>
      </c>
      <c r="H5" s="31" t="inlineStr">
        <is>
          <t>bookings.ts</t>
        </is>
      </c>
      <c r="I5" s="31" t="inlineStr">
        <is>
          <t>يحتاج تصحيح</t>
        </is>
      </c>
      <c r="J5" s="31" t="inlineStr">
        <is>
          <t>WP-S1</t>
        </is>
      </c>
      <c r="K5" s="31" t="inlineStr">
        <is>
          <t>لا</t>
        </is>
      </c>
      <c r="L5" s="30" t="inlineStr">
        <is>
          <t>—</t>
        </is>
      </c>
      <c r="M5" s="31" t="inlineStr">
        <is>
          <t>الرد موثّق (OperationResult) — المطلوب فقط تأكيد أن returnId = رقم الحجز الجديد (Q-21)؛ الكود القديم كان يتوقع BookingRow (D-01)</t>
        </is>
      </c>
    </row>
    <row r="6" ht="42" customHeight="1" s="26">
      <c r="A6" s="31" t="n">
        <v>2</v>
      </c>
      <c r="B6" s="31" t="inlineStr">
        <is>
          <t>Booking</t>
        </is>
      </c>
      <c r="C6" s="31" t="inlineStr">
        <is>
          <t>POST</t>
        </is>
      </c>
      <c r="D6" s="31" t="inlineStr">
        <is>
          <t>/api/Booking/Decide</t>
        </is>
      </c>
      <c r="E6" s="31" t="inlineStr">
        <is>
          <t>body: bookingId, accept, rejectionReason</t>
        </is>
      </c>
      <c r="F6" s="31" t="inlineStr">
        <is>
          <t>OperationResult</t>
        </is>
      </c>
      <c r="G6" s="31" t="inlineStr">
        <is>
          <t>decideBooking</t>
        </is>
      </c>
      <c r="H6" s="31" t="inlineStr">
        <is>
          <t>bookings.ts</t>
        </is>
      </c>
      <c r="I6" s="31" t="inlineStr">
        <is>
          <t>يحتاج تصحيح</t>
        </is>
      </c>
      <c r="J6" s="31" t="inlineStr">
        <is>
          <t>WP-T5</t>
        </is>
      </c>
      <c r="K6" s="31" t="inlineStr">
        <is>
          <t>لا</t>
        </is>
      </c>
      <c r="L6" s="30" t="inlineStr">
        <is>
          <t>—</t>
        </is>
      </c>
      <c r="M6" s="31" t="inlineStr">
        <is>
          <t>الكود يرسل approve بدل accept</t>
        </is>
      </c>
    </row>
    <row r="7" ht="42" customHeight="1" s="26">
      <c r="A7" s="31" t="n">
        <v>3</v>
      </c>
      <c r="B7" s="31" t="inlineStr">
        <is>
          <t>Booking</t>
        </is>
      </c>
      <c r="C7" s="31" t="inlineStr">
        <is>
          <t>POST</t>
        </is>
      </c>
      <c r="D7" s="31" t="inlineStr">
        <is>
          <t>/api/Booking/Cancel</t>
        </is>
      </c>
      <c r="E7" s="31" t="inlineStr">
        <is>
          <t>query: bookingId, reason</t>
        </is>
      </c>
      <c r="F7" s="31" t="inlineStr">
        <is>
          <t>OperationResult</t>
        </is>
      </c>
      <c r="G7" s="31" t="inlineStr">
        <is>
          <t>cancelBooking</t>
        </is>
      </c>
      <c r="H7" s="31" t="inlineStr">
        <is>
          <t>bookings.ts</t>
        </is>
      </c>
      <c r="I7" s="31" t="inlineStr">
        <is>
          <t>يحتاج تصحيح</t>
        </is>
      </c>
      <c r="J7" s="31" t="inlineStr">
        <is>
          <t>(بديل)</t>
        </is>
      </c>
      <c r="K7" s="31" t="inlineStr">
        <is>
          <t>لا</t>
        </is>
      </c>
      <c r="L7" s="30" t="inlineStr">
        <is>
          <t>—</t>
        </is>
      </c>
      <c r="M7" s="31" t="inlineStr">
        <is>
          <t>الطالب يفضّل Student/CancelBooking</t>
        </is>
      </c>
    </row>
    <row r="8" ht="42" customHeight="1" s="26">
      <c r="A8" s="31" t="n">
        <v>4</v>
      </c>
      <c r="B8" s="31" t="inlineStr">
        <is>
          <t>Booking</t>
        </is>
      </c>
      <c r="C8" s="31" t="inlineStr">
        <is>
          <t>POST</t>
        </is>
      </c>
      <c r="D8" s="31" t="inlineStr">
        <is>
          <t>/api/Booking/Complete</t>
        </is>
      </c>
      <c r="E8" s="31" t="inlineStr">
        <is>
          <t>query: bookingId</t>
        </is>
      </c>
      <c r="F8" s="31" t="inlineStr">
        <is>
          <t>OperationResult</t>
        </is>
      </c>
      <c r="G8" s="31" t="inlineStr">
        <is>
          <t>completeBooking</t>
        </is>
      </c>
      <c r="H8" s="31" t="inlineStr">
        <is>
          <t>bookings.ts</t>
        </is>
      </c>
      <c r="I8" s="31" t="inlineStr">
        <is>
          <t>يحتاج تصحيح</t>
        </is>
      </c>
      <c r="J8" s="31" t="inlineStr">
        <is>
          <t>WP-T5</t>
        </is>
      </c>
      <c r="K8" s="31" t="inlineStr">
        <is>
          <t>لا</t>
        </is>
      </c>
      <c r="L8" s="30" t="inlineStr">
        <is>
          <t>—</t>
        </is>
      </c>
      <c r="M8" s="31" t="n"/>
    </row>
    <row r="9" ht="42" customHeight="1" s="26">
      <c r="A9" s="31" t="n">
        <v>5</v>
      </c>
      <c r="B9" s="31" t="inlineStr">
        <is>
          <t>Booking</t>
        </is>
      </c>
      <c r="C9" s="31" t="inlineStr">
        <is>
          <t>POST</t>
        </is>
      </c>
      <c r="D9" s="31" t="inlineStr">
        <is>
          <t>/api/Booking/Rate</t>
        </is>
      </c>
      <c r="E9" s="31" t="inlineStr">
        <is>
          <t>body: bookingId, ratingValue, review</t>
        </is>
      </c>
      <c r="F9" s="31" t="inlineStr">
        <is>
          <t>OperationResult</t>
        </is>
      </c>
      <c r="G9" s="31" t="inlineStr">
        <is>
          <t>rateBooking</t>
        </is>
      </c>
      <c r="H9" s="31" t="inlineStr">
        <is>
          <t>bookings.ts</t>
        </is>
      </c>
      <c r="I9" s="31" t="inlineStr">
        <is>
          <t>يحتاج تصحيح</t>
        </is>
      </c>
      <c r="J9" s="31" t="inlineStr">
        <is>
          <t>WP-S4</t>
        </is>
      </c>
      <c r="K9" s="31" t="inlineStr">
        <is>
          <t>لا</t>
        </is>
      </c>
      <c r="L9" s="30" t="inlineStr">
        <is>
          <t>—</t>
        </is>
      </c>
      <c r="M9" s="31" t="inlineStr">
        <is>
          <t>الكود يرسل rating/comment</t>
        </is>
      </c>
    </row>
    <row r="10" ht="42" customHeight="1" s="26">
      <c r="A10" s="31" t="n">
        <v>6</v>
      </c>
      <c r="B10" s="31" t="inlineStr">
        <is>
          <t>Booking</t>
        </is>
      </c>
      <c r="C10" s="31" t="inlineStr">
        <is>
          <t>GET</t>
        </is>
      </c>
      <c r="D10" s="31" t="inlineStr">
        <is>
          <t>/api/Booking/MyBookings</t>
        </is>
      </c>
      <c r="E10" s="31" t="inlineStr">
        <is>
          <t>—</t>
        </is>
      </c>
      <c r="F10" s="31" t="inlineStr">
        <is>
          <t>غير موثّق</t>
        </is>
      </c>
      <c r="G10" s="31" t="inlineStr">
        <is>
          <t>listMyBookings</t>
        </is>
      </c>
      <c r="H10" s="31" t="inlineStr">
        <is>
          <t>bookings.ts</t>
        </is>
      </c>
      <c r="I10" s="31" t="inlineStr">
        <is>
          <t>يحتاج تحقق</t>
        </is>
      </c>
      <c r="J10" s="31" t="inlineStr">
        <is>
          <t>—</t>
        </is>
      </c>
      <c r="K10" s="31" t="inlineStr">
        <is>
          <t>لا</t>
        </is>
      </c>
      <c r="L10" s="30" t="inlineStr">
        <is>
          <t>—</t>
        </is>
      </c>
      <c r="M10" s="31" t="inlineStr">
        <is>
          <t>لا تستخدمه أي مهمة بالخطة (الطالب يستخدم Student/MyBookings)؛ لا عينة مطلوبة</t>
        </is>
      </c>
    </row>
    <row r="11" ht="42" customHeight="1" s="26">
      <c r="A11" s="31" t="n">
        <v>7</v>
      </c>
      <c r="B11" s="31" t="inlineStr">
        <is>
          <t>Booking</t>
        </is>
      </c>
      <c r="C11" s="31" t="inlineStr">
        <is>
          <t>GET</t>
        </is>
      </c>
      <c r="D11" s="31" t="inlineStr">
        <is>
          <t>/api/Booking/TeacherBookings</t>
        </is>
      </c>
      <c r="E11" s="31" t="inlineStr">
        <is>
          <t>query: status(1..6)</t>
        </is>
      </c>
      <c r="F11" s="31" t="inlineStr">
        <is>
          <t>غير موثّق</t>
        </is>
      </c>
      <c r="G11" s="31" t="inlineStr">
        <is>
          <t>listTeacherBookings</t>
        </is>
      </c>
      <c r="H11" s="31" t="inlineStr">
        <is>
          <t>bookings.ts</t>
        </is>
      </c>
      <c r="I11" s="31" t="inlineStr">
        <is>
          <t>يحتاج تصحيح</t>
        </is>
      </c>
      <c r="J11" s="31" t="inlineStr">
        <is>
          <t>WP-T5</t>
        </is>
      </c>
      <c r="K11" s="31" t="inlineStr">
        <is>
          <t>نعم</t>
        </is>
      </c>
      <c r="L11" s="30" t="inlineStr">
        <is>
          <t>لا</t>
        </is>
      </c>
      <c r="M11" s="31" t="inlineStr">
        <is>
          <t>الكود يرسل اسم الحالة نصًا؛ المطلوب رقم</t>
        </is>
      </c>
    </row>
    <row r="12" ht="42" customHeight="1" s="26">
      <c r="A12" s="31" t="n">
        <v>8</v>
      </c>
      <c r="B12" s="31" t="inlineStr">
        <is>
          <t>Booking</t>
        </is>
      </c>
      <c r="C12" s="31" t="inlineStr">
        <is>
          <t>GET</t>
        </is>
      </c>
      <c r="D12" s="31" t="inlineStr">
        <is>
          <t>/api/Booking/TeacherRescheduleRequests</t>
        </is>
      </c>
      <c r="E12" s="31" t="inlineStr">
        <is>
          <t>query: status(1..4)</t>
        </is>
      </c>
      <c r="F12" s="31" t="inlineStr">
        <is>
          <t>غير موثّق</t>
        </is>
      </c>
      <c r="G12" s="31" t="inlineStr">
        <is>
          <t>—</t>
        </is>
      </c>
      <c r="H12" s="31" t="inlineStr">
        <is>
          <t>bookings.ts</t>
        </is>
      </c>
      <c r="I12" s="31" t="inlineStr">
        <is>
          <t>ناقص</t>
        </is>
      </c>
      <c r="J12" s="31" t="inlineStr">
        <is>
          <t>WP-T5</t>
        </is>
      </c>
      <c r="K12" s="31" t="inlineStr">
        <is>
          <t>نعم</t>
        </is>
      </c>
      <c r="L12" s="30" t="inlineStr">
        <is>
          <t>لا</t>
        </is>
      </c>
      <c r="M12" s="31" t="inlineStr">
        <is>
          <t>أسماء الحالات 1..4 غير موثّقة</t>
        </is>
      </c>
    </row>
    <row r="13" ht="42" customHeight="1" s="26">
      <c r="A13" s="31" t="n">
        <v>9</v>
      </c>
      <c r="B13" s="31" t="inlineStr">
        <is>
          <t>Booking</t>
        </is>
      </c>
      <c r="C13" s="31" t="inlineStr">
        <is>
          <t>POST</t>
        </is>
      </c>
      <c r="D13" s="31" t="inlineStr">
        <is>
          <t>/api/Booking/DecideReschedule</t>
        </is>
      </c>
      <c r="E13" s="31" t="inlineStr">
        <is>
          <t>body: requestId, approve, rejectionReason</t>
        </is>
      </c>
      <c r="F13" s="31" t="inlineStr">
        <is>
          <t>OperationResult</t>
        </is>
      </c>
      <c r="G13" s="31" t="inlineStr">
        <is>
          <t>—</t>
        </is>
      </c>
      <c r="H13" s="31" t="inlineStr">
        <is>
          <t>bookings.ts</t>
        </is>
      </c>
      <c r="I13" s="31" t="inlineStr">
        <is>
          <t>ناقص</t>
        </is>
      </c>
      <c r="J13" s="31" t="inlineStr">
        <is>
          <t>WP-T5</t>
        </is>
      </c>
      <c r="K13" s="31" t="inlineStr">
        <is>
          <t>لا</t>
        </is>
      </c>
      <c r="L13" s="30" t="inlineStr">
        <is>
          <t>—</t>
        </is>
      </c>
      <c r="M13" s="31" t="n"/>
    </row>
    <row r="14" ht="42" customHeight="1" s="26">
      <c r="A14" s="31" t="n">
        <v>10</v>
      </c>
      <c r="B14" s="31" t="inlineStr">
        <is>
          <t>Course</t>
        </is>
      </c>
      <c r="C14" s="31" t="inlineStr">
        <is>
          <t>POST</t>
        </is>
      </c>
      <c r="D14" s="31" t="inlineStr">
        <is>
          <t>/api/Course/GetPublished</t>
        </is>
      </c>
      <c r="E14" s="31" t="inlineStr">
        <is>
          <t>body: DataTable (searchValue, sortColumn, sortColumnDirection, pageSize, skip)</t>
        </is>
      </c>
      <c r="F14" s="31" t="inlineStr">
        <is>
          <t>غير موثّق (مربوط سابقًا)</t>
        </is>
      </c>
      <c r="G14" s="31" t="inlineStr">
        <is>
          <t>listPublishedCoursesPage</t>
        </is>
      </c>
      <c r="H14" s="31" t="inlineStr">
        <is>
          <t>courses.ts</t>
        </is>
      </c>
      <c r="I14" s="31" t="inlineStr">
        <is>
          <t>جاهز</t>
        </is>
      </c>
      <c r="J14" s="31" t="inlineStr">
        <is>
          <t>(عام)</t>
        </is>
      </c>
      <c r="K14" s="31" t="inlineStr">
        <is>
          <t>لا</t>
        </is>
      </c>
      <c r="L14" s="30" t="inlineStr">
        <is>
          <t>—</t>
        </is>
      </c>
      <c r="M14" s="31" t="n"/>
    </row>
    <row r="15" ht="42" customHeight="1" s="26">
      <c r="A15" s="31" t="n">
        <v>11</v>
      </c>
      <c r="B15" s="31" t="inlineStr">
        <is>
          <t>Course</t>
        </is>
      </c>
      <c r="C15" s="31" t="inlineStr">
        <is>
          <t>POST</t>
        </is>
      </c>
      <c r="D15" s="31" t="inlineStr">
        <is>
          <t>/api/Course/GetAll</t>
        </is>
      </c>
      <c r="E15" s="31" t="inlineStr">
        <is>
          <t>body: DataTable</t>
        </is>
      </c>
      <c r="F15" s="31" t="inlineStr">
        <is>
          <t>غير موثّق</t>
        </is>
      </c>
      <c r="G15" s="31" t="inlineStr">
        <is>
          <t>listAllCoursesForAdmin</t>
        </is>
      </c>
      <c r="H15" s="31" t="inlineStr">
        <is>
          <t>courses.ts</t>
        </is>
      </c>
      <c r="I15" s="31" t="inlineStr">
        <is>
          <t>يحتاج تحقق</t>
        </is>
      </c>
      <c r="J15" s="31" t="inlineStr">
        <is>
          <t>WP-T1</t>
        </is>
      </c>
      <c r="K15" s="31" t="inlineStr">
        <is>
          <t>نعم</t>
        </is>
      </c>
      <c r="L15" s="30" t="inlineStr">
        <is>
          <t>لا</t>
        </is>
      </c>
      <c r="M15" s="31" t="inlineStr">
        <is>
          <t>هل يفلتر حسب المعلم؟ (Q-01)</t>
        </is>
      </c>
    </row>
    <row r="16" ht="42" customHeight="1" s="26">
      <c r="A16" s="31" t="n">
        <v>12</v>
      </c>
      <c r="B16" s="31" t="inlineStr">
        <is>
          <t>Course</t>
        </is>
      </c>
      <c r="C16" s="31" t="inlineStr">
        <is>
          <t>GET</t>
        </is>
      </c>
      <c r="D16" s="31" t="inlineStr">
        <is>
          <t>/api/Course/GetById</t>
        </is>
      </c>
      <c r="E16" s="31" t="inlineStr">
        <is>
          <t>query: id</t>
        </is>
      </c>
      <c r="F16" s="31" t="inlineStr">
        <is>
          <t>غير موثّق</t>
        </is>
      </c>
      <c r="G16" s="31" t="inlineStr">
        <is>
          <t>getPublishedCourse</t>
        </is>
      </c>
      <c r="H16" s="31" t="inlineStr">
        <is>
          <t>courses.ts</t>
        </is>
      </c>
      <c r="I16" s="31" t="inlineStr">
        <is>
          <t>جاهز</t>
        </is>
      </c>
      <c r="J16" s="31" t="inlineStr">
        <is>
          <t>(عام)</t>
        </is>
      </c>
      <c r="K16" s="31" t="inlineStr">
        <is>
          <t>لا</t>
        </is>
      </c>
      <c r="L16" s="30" t="inlineStr">
        <is>
          <t>—</t>
        </is>
      </c>
      <c r="M16" s="31" t="n"/>
    </row>
    <row r="17" ht="42" customHeight="1" s="26">
      <c r="A17" s="31" t="n">
        <v>13</v>
      </c>
      <c r="B17" s="31" t="inlineStr">
        <is>
          <t>Course</t>
        </is>
      </c>
      <c r="C17" s="31" t="inlineStr">
        <is>
          <t>GET</t>
        </is>
      </c>
      <c r="D17" s="31" t="inlineStr">
        <is>
          <t>/api/Course/GetMineById</t>
        </is>
      </c>
      <c r="E17" s="31" t="inlineStr">
        <is>
          <t>query: id</t>
        </is>
      </c>
      <c r="F17" s="31" t="inlineStr">
        <is>
          <t>غير موثّق</t>
        </is>
      </c>
      <c r="G17" s="31" t="inlineStr">
        <is>
          <t>—</t>
        </is>
      </c>
      <c r="H17" s="31" t="inlineStr">
        <is>
          <t>courses.ts</t>
        </is>
      </c>
      <c r="I17" s="31" t="inlineStr">
        <is>
          <t>ناقص</t>
        </is>
      </c>
      <c r="J17" s="31" t="inlineStr">
        <is>
          <t>WP-T1, T2, T3, T4</t>
        </is>
      </c>
      <c r="K17" s="31" t="inlineStr">
        <is>
          <t>نعم</t>
        </is>
      </c>
      <c r="L17" s="30" t="inlineStr">
        <is>
          <t>لا</t>
        </is>
      </c>
      <c r="M17" s="31" t="inlineStr">
        <is>
          <t>هل يرجع المجموعات/groupId؟ (Q-02)</t>
        </is>
      </c>
    </row>
    <row r="18" ht="42" customHeight="1" s="26">
      <c r="A18" s="31" t="n">
        <v>14</v>
      </c>
      <c r="B18" s="31" t="inlineStr">
        <is>
          <t>Course</t>
        </is>
      </c>
      <c r="C18" s="31" t="inlineStr">
        <is>
          <t>GET</t>
        </is>
      </c>
      <c r="D18" s="31" t="inlineStr">
        <is>
          <t>/api/Course/GetGroupStudents</t>
        </is>
      </c>
      <c r="E18" s="31" t="inlineStr">
        <is>
          <t>query: groupId, keyword</t>
        </is>
      </c>
      <c r="F18" s="31" t="inlineStr">
        <is>
          <t>غير موثّق</t>
        </is>
      </c>
      <c r="G18" s="31" t="inlineStr">
        <is>
          <t>—</t>
        </is>
      </c>
      <c r="H18" s="31" t="inlineStr">
        <is>
          <t>courses.ts</t>
        </is>
      </c>
      <c r="I18" s="31" t="inlineStr">
        <is>
          <t>ناقص</t>
        </is>
      </c>
      <c r="J18" s="31" t="inlineStr">
        <is>
          <t>WP-T3</t>
        </is>
      </c>
      <c r="K18" s="31" t="inlineStr">
        <is>
          <t>نعم</t>
        </is>
      </c>
      <c r="L18" s="30" t="inlineStr">
        <is>
          <t>لا</t>
        </is>
      </c>
      <c r="M18" s="31" t="inlineStr">
        <is>
          <t>الحقول المرجعة (اسم/هاتف/موقع؟)</t>
        </is>
      </c>
    </row>
    <row r="19" ht="42" customHeight="1" s="26">
      <c r="A19" s="31" t="n">
        <v>15</v>
      </c>
      <c r="B19" s="31" t="inlineStr">
        <is>
          <t>Course</t>
        </is>
      </c>
      <c r="C19" s="31" t="inlineStr">
        <is>
          <t>POST</t>
        </is>
      </c>
      <c r="D19" s="31" t="inlineStr">
        <is>
          <t>/api/Course/CreateEdit</t>
        </is>
      </c>
      <c r="E19" s="31" t="inlineStr">
        <is>
          <t>body: id, teacherId, subjectId, categoryId, title, description, price, deliveryType(1|2), maxStudents, groupName, gradeId, saveAsDraft</t>
        </is>
      </c>
      <c r="F19" s="31" t="inlineStr">
        <is>
          <t>OperationResult</t>
        </is>
      </c>
      <c r="G19" s="31" t="inlineStr">
        <is>
          <t>—</t>
        </is>
      </c>
      <c r="H19" s="31" t="inlineStr">
        <is>
          <t>courses.ts</t>
        </is>
      </c>
      <c r="I19" s="31" t="inlineStr">
        <is>
          <t>ناقص</t>
        </is>
      </c>
      <c r="J19" s="31" t="inlineStr">
        <is>
          <t>WP-T1</t>
        </is>
      </c>
      <c r="K19" s="31" t="inlineStr">
        <is>
          <t>لا</t>
        </is>
      </c>
      <c r="L19" s="30" t="inlineStr">
        <is>
          <t>—</t>
        </is>
      </c>
      <c r="M19" s="31" t="inlineStr">
        <is>
          <t>teacherId مطلوب بالـ DTO (Q-03)</t>
        </is>
      </c>
    </row>
    <row r="20" ht="42" customHeight="1" s="26">
      <c r="A20" s="31" t="n">
        <v>16</v>
      </c>
      <c r="B20" s="31" t="inlineStr">
        <is>
          <t>Course</t>
        </is>
      </c>
      <c r="C20" s="31" t="inlineStr">
        <is>
          <t>POST</t>
        </is>
      </c>
      <c r="D20" s="31" t="inlineStr">
        <is>
          <t>/api/Course/ConfigureGroupSchedule</t>
        </is>
      </c>
      <c r="E20" s="31" t="inlineStr">
        <is>
          <t>body: groupId, maxStudents, courseStartDate, courseEndDate, defaultLessonDurationMinutes, scheduleDays[{dayOfWeek,startTime}]</t>
        </is>
      </c>
      <c r="F20" s="31" t="inlineStr">
        <is>
          <t>OperationResult</t>
        </is>
      </c>
      <c r="G20" s="31" t="inlineStr">
        <is>
          <t>—</t>
        </is>
      </c>
      <c r="H20" s="31" t="inlineStr">
        <is>
          <t>courses.ts</t>
        </is>
      </c>
      <c r="I20" s="31" t="inlineStr">
        <is>
          <t>ناقص</t>
        </is>
      </c>
      <c r="J20" s="31" t="inlineStr">
        <is>
          <t>WP-T2</t>
        </is>
      </c>
      <c r="K20" s="31" t="inlineStr">
        <is>
          <t>لا</t>
        </is>
      </c>
      <c r="L20" s="30" t="inlineStr">
        <is>
          <t>—</t>
        </is>
      </c>
      <c r="M20" s="31" t="n"/>
    </row>
    <row r="21" ht="42" customHeight="1" s="26">
      <c r="A21" s="31" t="n">
        <v>17</v>
      </c>
      <c r="B21" s="31" t="inlineStr">
        <is>
          <t>Lesson</t>
        </is>
      </c>
      <c r="C21" s="31" t="inlineStr">
        <is>
          <t>POST</t>
        </is>
      </c>
      <c r="D21" s="31" t="inlineStr">
        <is>
          <t>/api/Lesson/Create</t>
        </is>
      </c>
      <c r="E21" s="31" t="inlineStr">
        <is>
          <t>body: id, groupId, courseId, title, scheduledDate, startTime, durationMinutes, orderIndex, meetingPlatform, meetingUrl, meetingInstructions, room</t>
        </is>
      </c>
      <c r="F21" s="31" t="inlineStr">
        <is>
          <t>OperationResult</t>
        </is>
      </c>
      <c r="G21" s="31" t="inlineStr">
        <is>
          <t>createLesson</t>
        </is>
      </c>
      <c r="H21" s="31" t="inlineStr">
        <is>
          <t>lessons.ts</t>
        </is>
      </c>
      <c r="I21" s="31" t="inlineStr">
        <is>
          <t>يحتاج تصحيح</t>
        </is>
      </c>
      <c r="J21" s="31" t="inlineStr">
        <is>
          <t>WP-T4</t>
        </is>
      </c>
      <c r="K21" s="31" t="inlineStr">
        <is>
          <t>لا</t>
        </is>
      </c>
      <c r="L21" s="30" t="inlineStr">
        <is>
          <t>—</t>
        </is>
      </c>
      <c r="M21" s="31" t="inlineStr">
        <is>
          <t>الكود يتوقع LessonRow</t>
        </is>
      </c>
    </row>
    <row r="22" ht="42" customHeight="1" s="26">
      <c r="A22" s="31" t="n">
        <v>18</v>
      </c>
      <c r="B22" s="31" t="inlineStr">
        <is>
          <t>Lesson</t>
        </is>
      </c>
      <c r="C22" s="31" t="inlineStr">
        <is>
          <t>PUT</t>
        </is>
      </c>
      <c r="D22" s="31" t="inlineStr">
        <is>
          <t>/api/Lesson/Update</t>
        </is>
      </c>
      <c r="E22" s="31" t="inlineStr">
        <is>
          <t>نفس Create</t>
        </is>
      </c>
      <c r="F22" s="31" t="inlineStr">
        <is>
          <t>OperationResult</t>
        </is>
      </c>
      <c r="G22" s="31" t="inlineStr">
        <is>
          <t>updateLesson</t>
        </is>
      </c>
      <c r="H22" s="31" t="inlineStr">
        <is>
          <t>lessons.ts</t>
        </is>
      </c>
      <c r="I22" s="31" t="inlineStr">
        <is>
          <t>يحتاج تصحيح</t>
        </is>
      </c>
      <c r="J22" s="31" t="inlineStr">
        <is>
          <t>WP-T4</t>
        </is>
      </c>
      <c r="K22" s="31" t="inlineStr">
        <is>
          <t>لا</t>
        </is>
      </c>
      <c r="L22" s="30" t="inlineStr">
        <is>
          <t>—</t>
        </is>
      </c>
      <c r="M22" s="31" t="n"/>
    </row>
    <row r="23" ht="42" customHeight="1" s="26">
      <c r="A23" s="31" t="n">
        <v>19</v>
      </c>
      <c r="B23" s="31" t="inlineStr">
        <is>
          <t>Lesson</t>
        </is>
      </c>
      <c r="C23" s="31" t="inlineStr">
        <is>
          <t>PUT</t>
        </is>
      </c>
      <c r="D23" s="31" t="inlineStr">
        <is>
          <t>/api/Lesson/ConfigureMeeting</t>
        </is>
      </c>
      <c r="E23" s="31" t="inlineStr">
        <is>
          <t>body: lessonId, meetingPlatform, meetingUrl, meetingInstructions</t>
        </is>
      </c>
      <c r="F23" s="31" t="inlineStr">
        <is>
          <t>OperationResult</t>
        </is>
      </c>
      <c r="G23" s="31" t="inlineStr">
        <is>
          <t>configureLessonMeeting</t>
        </is>
      </c>
      <c r="H23" s="31" t="inlineStr">
        <is>
          <t>lessons.ts</t>
        </is>
      </c>
      <c r="I23" s="31" t="inlineStr">
        <is>
          <t>يحتاج تصحيح</t>
        </is>
      </c>
      <c r="J23" s="31" t="inlineStr">
        <is>
          <t>WP-T4</t>
        </is>
      </c>
      <c r="K23" s="31" t="inlineStr">
        <is>
          <t>لا</t>
        </is>
      </c>
      <c r="L23" s="30" t="inlineStr">
        <is>
          <t>—</t>
        </is>
      </c>
      <c r="M23" s="31" t="n"/>
    </row>
    <row r="24" ht="42" customHeight="1" s="26">
      <c r="A24" s="31" t="n">
        <v>20</v>
      </c>
      <c r="B24" s="31" t="inlineStr">
        <is>
          <t>Lesson</t>
        </is>
      </c>
      <c r="C24" s="31" t="inlineStr">
        <is>
          <t>PUT</t>
        </is>
      </c>
      <c r="D24" s="31" t="inlineStr">
        <is>
          <t>/api/Lesson/Cancel</t>
        </is>
      </c>
      <c r="E24" s="31" t="inlineStr">
        <is>
          <t>body: lessonId, reason</t>
        </is>
      </c>
      <c r="F24" s="31" t="inlineStr">
        <is>
          <t>OperationResult</t>
        </is>
      </c>
      <c r="G24" s="31" t="inlineStr">
        <is>
          <t>cancelLesson</t>
        </is>
      </c>
      <c r="H24" s="31" t="inlineStr">
        <is>
          <t>lessons.ts</t>
        </is>
      </c>
      <c r="I24" s="31" t="inlineStr">
        <is>
          <t>يحتاج تصحيح</t>
        </is>
      </c>
      <c r="J24" s="31" t="inlineStr">
        <is>
          <t>WP-T4</t>
        </is>
      </c>
      <c r="K24" s="31" t="inlineStr">
        <is>
          <t>لا</t>
        </is>
      </c>
      <c r="L24" s="30" t="inlineStr">
        <is>
          <t>—</t>
        </is>
      </c>
      <c r="M24" s="31" t="n"/>
    </row>
    <row r="25" ht="42" customHeight="1" s="26">
      <c r="A25" s="31" t="n">
        <v>21</v>
      </c>
      <c r="B25" s="31" t="inlineStr">
        <is>
          <t>Lesson</t>
        </is>
      </c>
      <c r="C25" s="31" t="inlineStr">
        <is>
          <t>GET</t>
        </is>
      </c>
      <c r="D25" s="31" t="inlineStr">
        <is>
          <t>/api/Lesson/GetSchedule</t>
        </is>
      </c>
      <c r="E25" s="31" t="inlineStr">
        <is>
          <t>query: courseId, groupId</t>
        </is>
      </c>
      <c r="F25" s="31" t="inlineStr">
        <is>
          <t>غير موثّق</t>
        </is>
      </c>
      <c r="G25" s="31" t="inlineStr">
        <is>
          <t>getLessonSchedule</t>
        </is>
      </c>
      <c r="H25" s="31" t="inlineStr">
        <is>
          <t>lessons.ts</t>
        </is>
      </c>
      <c r="I25" s="31" t="inlineStr">
        <is>
          <t>يحتاج تحقق</t>
        </is>
      </c>
      <c r="J25" s="31" t="inlineStr">
        <is>
          <t>WP-T4</t>
        </is>
      </c>
      <c r="K25" s="31" t="inlineStr">
        <is>
          <t>نعم</t>
        </is>
      </c>
      <c r="L25" s="30" t="inlineStr">
        <is>
          <t>لا</t>
        </is>
      </c>
      <c r="M25" s="31" t="n"/>
    </row>
    <row r="26" ht="42" customHeight="1" s="26">
      <c r="A26" s="31" t="n">
        <v>22</v>
      </c>
      <c r="B26" s="31" t="inlineStr">
        <is>
          <t>Parent</t>
        </is>
      </c>
      <c r="C26" s="31" t="inlineStr">
        <is>
          <t>GET</t>
        </is>
      </c>
      <c r="D26" s="31" t="inlineStr">
        <is>
          <t>/api/Parent/MyChildren</t>
        </is>
      </c>
      <c r="E26" s="31" t="inlineStr">
        <is>
          <t>—</t>
        </is>
      </c>
      <c r="F26" s="31" t="inlineStr">
        <is>
          <t>غير موثّق (النوع بالكود)</t>
        </is>
      </c>
      <c r="G26" s="31" t="inlineStr">
        <is>
          <t>getMyChildren</t>
        </is>
      </c>
      <c r="H26" s="31" t="inlineStr">
        <is>
          <t>parent.ts</t>
        </is>
      </c>
      <c r="I26" s="31" t="inlineStr">
        <is>
          <t>جاهز</t>
        </is>
      </c>
      <c r="J26" s="31" t="inlineStr">
        <is>
          <t>WP-P1</t>
        </is>
      </c>
      <c r="K26" s="31" t="inlineStr">
        <is>
          <t>لا</t>
        </is>
      </c>
      <c r="L26" s="30" t="inlineStr">
        <is>
          <t>—</t>
        </is>
      </c>
      <c r="M26" s="31" t="inlineStr">
        <is>
          <t>unreadNotificationsCount موجود بالنوع</t>
        </is>
      </c>
    </row>
    <row r="27" ht="42" customHeight="1" s="26">
      <c r="A27" s="31" t="n">
        <v>23</v>
      </c>
      <c r="B27" s="31" t="inlineStr">
        <is>
          <t>Parent</t>
        </is>
      </c>
      <c r="C27" s="31" t="inlineStr">
        <is>
          <t>GET</t>
        </is>
      </c>
      <c r="D27" s="31" t="inlineStr">
        <is>
          <t>/api/Parent/ChildAttendance</t>
        </is>
      </c>
      <c r="E27" s="31" t="inlineStr">
        <is>
          <t>query: studentId, from, to</t>
        </is>
      </c>
      <c r="F27" s="31" t="inlineStr">
        <is>
          <t>غير موثّق</t>
        </is>
      </c>
      <c r="G27" s="31" t="inlineStr">
        <is>
          <t>getChildAttendance</t>
        </is>
      </c>
      <c r="H27" s="31" t="inlineStr">
        <is>
          <t>parent.ts</t>
        </is>
      </c>
      <c r="I27" s="31" t="inlineStr">
        <is>
          <t>جاهز</t>
        </is>
      </c>
      <c r="J27" s="31" t="inlineStr">
        <is>
          <t>WP-P1</t>
        </is>
      </c>
      <c r="K27" s="31" t="inlineStr">
        <is>
          <t>لا</t>
        </is>
      </c>
      <c r="L27" s="30" t="inlineStr">
        <is>
          <t>—</t>
        </is>
      </c>
      <c r="M27" s="31" t="n"/>
    </row>
    <row r="28" ht="42" customHeight="1" s="26">
      <c r="A28" s="31" t="n">
        <v>24</v>
      </c>
      <c r="B28" s="31" t="inlineStr">
        <is>
          <t>Parent</t>
        </is>
      </c>
      <c r="C28" s="31" t="inlineStr">
        <is>
          <t>GET</t>
        </is>
      </c>
      <c r="D28" s="31" t="inlineStr">
        <is>
          <t>/api/Parent/ChildExamResults</t>
        </is>
      </c>
      <c r="E28" s="31" t="inlineStr">
        <is>
          <t>query: studentId</t>
        </is>
      </c>
      <c r="F28" s="31" t="inlineStr">
        <is>
          <t>غير موثّق</t>
        </is>
      </c>
      <c r="G28" s="31" t="inlineStr">
        <is>
          <t>getChildExamResults</t>
        </is>
      </c>
      <c r="H28" s="31" t="inlineStr">
        <is>
          <t>parent.ts</t>
        </is>
      </c>
      <c r="I28" s="31" t="inlineStr">
        <is>
          <t>جاهز</t>
        </is>
      </c>
      <c r="J28" s="31" t="inlineStr">
        <is>
          <t>WP-P1</t>
        </is>
      </c>
      <c r="K28" s="31" t="inlineStr">
        <is>
          <t>لا</t>
        </is>
      </c>
      <c r="L28" s="30" t="inlineStr">
        <is>
          <t>—</t>
        </is>
      </c>
      <c r="M28" s="31" t="n"/>
    </row>
    <row r="29" ht="42" customHeight="1" s="26">
      <c r="A29" s="31" t="n">
        <v>25</v>
      </c>
      <c r="B29" s="31" t="inlineStr">
        <is>
          <t>Student</t>
        </is>
      </c>
      <c r="C29" s="31" t="inlineStr">
        <is>
          <t>GET</t>
        </is>
      </c>
      <c r="D29" s="31" t="inlineStr">
        <is>
          <t>/api/Student/Dashboard</t>
        </is>
      </c>
      <c r="E29" s="31" t="inlineStr">
        <is>
          <t>—</t>
        </is>
      </c>
      <c r="F29" s="31" t="inlineStr">
        <is>
          <t>غير موثّق (النوع بالكود)</t>
        </is>
      </c>
      <c r="G29" s="31" t="inlineStr">
        <is>
          <t>getStudentDashboard</t>
        </is>
      </c>
      <c r="H29" s="31" t="inlineStr">
        <is>
          <t>student.ts</t>
        </is>
      </c>
      <c r="I29" s="31" t="inlineStr">
        <is>
          <t>جاهز</t>
        </is>
      </c>
      <c r="J29" s="31" t="inlineStr">
        <is>
          <t>WP-S6</t>
        </is>
      </c>
      <c r="K29" s="31" t="inlineStr">
        <is>
          <t>لا</t>
        </is>
      </c>
      <c r="L29" s="30" t="inlineStr">
        <is>
          <t>—</t>
        </is>
      </c>
      <c r="M29" s="31" t="inlineStr">
        <is>
          <t>activeCourses لـ WP-S6</t>
        </is>
      </c>
    </row>
    <row r="30" ht="42" customHeight="1" s="26">
      <c r="A30" s="31" t="n">
        <v>26</v>
      </c>
      <c r="B30" s="31" t="inlineStr">
        <is>
          <t>Student</t>
        </is>
      </c>
      <c r="C30" s="31" t="inlineStr">
        <is>
          <t>GET</t>
        </is>
      </c>
      <c r="D30" s="31" t="inlineStr">
        <is>
          <t>/api/Student/MyRequests</t>
        </is>
      </c>
      <c r="E30" s="31" t="inlineStr">
        <is>
          <t>query: status(1..6)</t>
        </is>
      </c>
      <c r="F30" s="31" t="inlineStr">
        <is>
          <t>غير موثّق</t>
        </is>
      </c>
      <c r="G30" s="31" t="inlineStr">
        <is>
          <t>getStudentMyRequests</t>
        </is>
      </c>
      <c r="H30" s="31" t="inlineStr">
        <is>
          <t>student.ts</t>
        </is>
      </c>
      <c r="I30" s="31" t="inlineStr">
        <is>
          <t>جاهز</t>
        </is>
      </c>
      <c r="J30" s="31" t="inlineStr">
        <is>
          <t>WP-S2</t>
        </is>
      </c>
      <c r="K30" s="31" t="inlineStr">
        <is>
          <t>لا</t>
        </is>
      </c>
      <c r="L30" s="30" t="inlineStr">
        <is>
          <t>—</t>
        </is>
      </c>
      <c r="M30" s="31" t="n"/>
    </row>
    <row r="31" ht="42" customHeight="1" s="26">
      <c r="A31" s="31" t="n">
        <v>27</v>
      </c>
      <c r="B31" s="31" t="inlineStr">
        <is>
          <t>Student</t>
        </is>
      </c>
      <c r="C31" s="31" t="inlineStr">
        <is>
          <t>GET</t>
        </is>
      </c>
      <c r="D31" s="31" t="inlineStr">
        <is>
          <t>/api/Student/GetBooking</t>
        </is>
      </c>
      <c r="E31" s="31" t="inlineStr">
        <is>
          <t>query: id</t>
        </is>
      </c>
      <c r="F31" s="31" t="inlineStr">
        <is>
          <t>غير موثّق</t>
        </is>
      </c>
      <c r="G31" s="31" t="inlineStr">
        <is>
          <t>—</t>
        </is>
      </c>
      <c r="H31" s="31" t="inlineStr">
        <is>
          <t>student.ts</t>
        </is>
      </c>
      <c r="I31" s="31" t="inlineStr">
        <is>
          <t>ناقص</t>
        </is>
      </c>
      <c r="J31" s="31" t="inlineStr">
        <is>
          <t>WP-S2, S3, S4</t>
        </is>
      </c>
      <c r="K31" s="31" t="inlineStr">
        <is>
          <t>نعم</t>
        </is>
      </c>
      <c r="L31" s="30" t="inlineStr">
        <is>
          <t>لا</t>
        </is>
      </c>
      <c r="M31" s="31" t="inlineStr">
        <is>
          <t>هل يتضمن isRated/تفاصيل الدفع؟</t>
        </is>
      </c>
    </row>
    <row r="32" ht="42" customHeight="1" s="26">
      <c r="A32" s="31" t="n">
        <v>28</v>
      </c>
      <c r="B32" s="31" t="inlineStr">
        <is>
          <t>Student</t>
        </is>
      </c>
      <c r="C32" s="31" t="inlineStr">
        <is>
          <t>GET</t>
        </is>
      </c>
      <c r="D32" s="31" t="inlineStr">
        <is>
          <t>/api/Student/MyBookings</t>
        </is>
      </c>
      <c r="E32" s="31" t="inlineStr">
        <is>
          <t>—</t>
        </is>
      </c>
      <c r="F32" s="31" t="inlineStr">
        <is>
          <t>غير موثّق</t>
        </is>
      </c>
      <c r="G32" s="31" t="inlineStr">
        <is>
          <t>getStudentMyBookings</t>
        </is>
      </c>
      <c r="H32" s="31" t="inlineStr">
        <is>
          <t>student.ts</t>
        </is>
      </c>
      <c r="I32" s="31" t="inlineStr">
        <is>
          <t>جاهز</t>
        </is>
      </c>
      <c r="J32" s="31" t="inlineStr">
        <is>
          <t>WP-S2</t>
        </is>
      </c>
      <c r="K32" s="31" t="inlineStr">
        <is>
          <t>لا</t>
        </is>
      </c>
      <c r="L32" s="30" t="inlineStr">
        <is>
          <t>—</t>
        </is>
      </c>
      <c r="M32" s="31" t="n"/>
    </row>
    <row r="33" ht="42" customHeight="1" s="26">
      <c r="A33" s="31" t="n">
        <v>29</v>
      </c>
      <c r="B33" s="31" t="inlineStr">
        <is>
          <t>Student</t>
        </is>
      </c>
      <c r="C33" s="31" t="inlineStr">
        <is>
          <t>GET</t>
        </is>
      </c>
      <c r="D33" s="31" t="inlineStr">
        <is>
          <t>/api/Student/BookingPayment</t>
        </is>
      </c>
      <c r="E33" s="31" t="inlineStr">
        <is>
          <t>query: bookingId</t>
        </is>
      </c>
      <c r="F33" s="31" t="inlineStr">
        <is>
          <t>غير موثّق</t>
        </is>
      </c>
      <c r="G33" s="31" t="inlineStr">
        <is>
          <t>—</t>
        </is>
      </c>
      <c r="H33" s="31" t="inlineStr">
        <is>
          <t>student.ts</t>
        </is>
      </c>
      <c r="I33" s="31" t="inlineStr">
        <is>
          <t>ناقص</t>
        </is>
      </c>
      <c r="J33" s="31" t="inlineStr">
        <is>
          <t>WP-W1</t>
        </is>
      </c>
      <c r="K33" s="31" t="inlineStr">
        <is>
          <t>نعم</t>
        </is>
      </c>
      <c r="L33" s="30" t="inlineStr">
        <is>
          <t>لا</t>
        </is>
      </c>
      <c r="M33" s="31" t="n"/>
    </row>
    <row r="34" ht="42" customHeight="1" s="26">
      <c r="A34" s="31" t="n">
        <v>30</v>
      </c>
      <c r="B34" s="31" t="inlineStr">
        <is>
          <t>Student</t>
        </is>
      </c>
      <c r="C34" s="31" t="inlineStr">
        <is>
          <t>POST</t>
        </is>
      </c>
      <c r="D34" s="31" t="inlineStr">
        <is>
          <t>/api/Student/CancelBooking</t>
        </is>
      </c>
      <c r="E34" s="31" t="inlineStr">
        <is>
          <t>body: bookingId, reason</t>
        </is>
      </c>
      <c r="F34" s="31" t="inlineStr">
        <is>
          <t>OperationResult</t>
        </is>
      </c>
      <c r="G34" s="31" t="inlineStr">
        <is>
          <t>—</t>
        </is>
      </c>
      <c r="H34" s="31" t="inlineStr">
        <is>
          <t>student.ts</t>
        </is>
      </c>
      <c r="I34" s="31" t="inlineStr">
        <is>
          <t>ناقص</t>
        </is>
      </c>
      <c r="J34" s="31" t="inlineStr">
        <is>
          <t>WP-S2</t>
        </is>
      </c>
      <c r="K34" s="31" t="inlineStr">
        <is>
          <t>لا</t>
        </is>
      </c>
      <c r="L34" s="30" t="inlineStr">
        <is>
          <t>—</t>
        </is>
      </c>
      <c r="M34" s="31" t="n"/>
    </row>
    <row r="35" ht="42" customHeight="1" s="26">
      <c r="A35" s="31" t="n">
        <v>31</v>
      </c>
      <c r="B35" s="31" t="inlineStr">
        <is>
          <t>Student</t>
        </is>
      </c>
      <c r="C35" s="31" t="inlineStr">
        <is>
          <t>POST</t>
        </is>
      </c>
      <c r="D35" s="31" t="inlineStr">
        <is>
          <t>/api/Student/RequestReschedule</t>
        </is>
      </c>
      <c r="E35" s="31" t="inlineStr">
        <is>
          <t>body: bookingId, proposedDate, proposedStartTime, note</t>
        </is>
      </c>
      <c r="F35" s="31" t="inlineStr">
        <is>
          <t>OperationResult</t>
        </is>
      </c>
      <c r="G35" s="31" t="inlineStr">
        <is>
          <t>—</t>
        </is>
      </c>
      <c r="H35" s="31" t="inlineStr">
        <is>
          <t>student.ts</t>
        </is>
      </c>
      <c r="I35" s="31" t="inlineStr">
        <is>
          <t>ناقص</t>
        </is>
      </c>
      <c r="J35" s="31" t="inlineStr">
        <is>
          <t>WP-S3</t>
        </is>
      </c>
      <c r="K35" s="31" t="inlineStr">
        <is>
          <t>لا</t>
        </is>
      </c>
      <c r="L35" s="30" t="inlineStr">
        <is>
          <t>—</t>
        </is>
      </c>
      <c r="M35" s="31" t="n"/>
    </row>
    <row r="36" ht="42" customHeight="1" s="26">
      <c r="A36" s="31" t="n">
        <v>32</v>
      </c>
      <c r="B36" s="31" t="inlineStr">
        <is>
          <t>Student</t>
        </is>
      </c>
      <c r="C36" s="31" t="inlineStr">
        <is>
          <t>GET</t>
        </is>
      </c>
      <c r="D36" s="31" t="inlineStr">
        <is>
          <t>/api/Student/MyRescheduleRequests</t>
        </is>
      </c>
      <c r="E36" s="31" t="inlineStr">
        <is>
          <t>—</t>
        </is>
      </c>
      <c r="F36" s="31" t="inlineStr">
        <is>
          <t>غير موثّق</t>
        </is>
      </c>
      <c r="G36" s="31" t="inlineStr">
        <is>
          <t>—</t>
        </is>
      </c>
      <c r="H36" s="31" t="inlineStr">
        <is>
          <t>student.ts</t>
        </is>
      </c>
      <c r="I36" s="31" t="inlineStr">
        <is>
          <t>ناقص</t>
        </is>
      </c>
      <c r="J36" s="31" t="inlineStr">
        <is>
          <t>WP-S3</t>
        </is>
      </c>
      <c r="K36" s="31" t="inlineStr">
        <is>
          <t>نعم</t>
        </is>
      </c>
      <c r="L36" s="30" t="inlineStr">
        <is>
          <t>لا</t>
        </is>
      </c>
      <c r="M36" s="31" t="inlineStr">
        <is>
          <t>أسماء حالات الطلب</t>
        </is>
      </c>
    </row>
    <row r="37" ht="42" customHeight="1" s="26">
      <c r="A37" s="31" t="n">
        <v>33</v>
      </c>
      <c r="B37" s="31" t="inlineStr">
        <is>
          <t>Student</t>
        </is>
      </c>
      <c r="C37" s="31" t="inlineStr">
        <is>
          <t>GET</t>
        </is>
      </c>
      <c r="D37" s="31" t="inlineStr">
        <is>
          <t>/api/Student/Schedule</t>
        </is>
      </c>
      <c r="E37" s="31" t="inlineStr">
        <is>
          <t>query: From, To, CourseId, TeacherId, Mode(1|2)</t>
        </is>
      </c>
      <c r="F37" s="31" t="inlineStr">
        <is>
          <t>غير موثّق (النوع بالكود)</t>
        </is>
      </c>
      <c r="G37" s="31" t="inlineStr">
        <is>
          <t>getStudentSchedule</t>
        </is>
      </c>
      <c r="H37" s="31" t="inlineStr">
        <is>
          <t>student.ts</t>
        </is>
      </c>
      <c r="I37" s="31" t="inlineStr">
        <is>
          <t>جاهز</t>
        </is>
      </c>
      <c r="J37" s="31" t="inlineStr">
        <is>
          <t>WP-S5</t>
        </is>
      </c>
      <c r="K37" s="31" t="inlineStr">
        <is>
          <t>لا</t>
        </is>
      </c>
      <c r="L37" s="30" t="inlineStr">
        <is>
          <t>—</t>
        </is>
      </c>
      <c r="M37" s="31" t="n"/>
    </row>
    <row r="38" ht="42" customHeight="1" s="26">
      <c r="A38" s="31" t="n">
        <v>34</v>
      </c>
      <c r="B38" s="31" t="inlineStr">
        <is>
          <t>Student</t>
        </is>
      </c>
      <c r="C38" s="31" t="inlineStr">
        <is>
          <t>GET</t>
        </is>
      </c>
      <c r="D38" s="31" t="inlineStr">
        <is>
          <t>/api/Student/GetLesson</t>
        </is>
      </c>
      <c r="E38" s="31" t="inlineStr">
        <is>
          <t>query: id</t>
        </is>
      </c>
      <c r="F38" s="31" t="inlineStr">
        <is>
          <t>غير موثّق</t>
        </is>
      </c>
      <c r="G38" s="31" t="inlineStr">
        <is>
          <t>—</t>
        </is>
      </c>
      <c r="H38" s="31" t="inlineStr">
        <is>
          <t>student.ts</t>
        </is>
      </c>
      <c r="I38" s="31" t="inlineStr">
        <is>
          <t>ناقص</t>
        </is>
      </c>
      <c r="J38" s="31" t="inlineStr">
        <is>
          <t>WP-S5</t>
        </is>
      </c>
      <c r="K38" s="31" t="inlineStr">
        <is>
          <t>نعم</t>
        </is>
      </c>
      <c r="L38" s="30" t="inlineStr">
        <is>
          <t>لا</t>
        </is>
      </c>
      <c r="M38" s="31" t="n"/>
    </row>
    <row r="39" ht="42" customHeight="1" s="26">
      <c r="A39" s="31" t="n">
        <v>35</v>
      </c>
      <c r="B39" s="31" t="inlineStr">
        <is>
          <t>Student</t>
        </is>
      </c>
      <c r="C39" s="31" t="inlineStr">
        <is>
          <t>GET</t>
        </is>
      </c>
      <c r="D39" s="31" t="inlineStr">
        <is>
          <t>/api/Student/GetCourse</t>
        </is>
      </c>
      <c r="E39" s="31" t="inlineStr">
        <is>
          <t>query: id</t>
        </is>
      </c>
      <c r="F39" s="31" t="inlineStr">
        <is>
          <t>غير موثّق</t>
        </is>
      </c>
      <c r="G39" s="31" t="inlineStr">
        <is>
          <t>—</t>
        </is>
      </c>
      <c r="H39" s="31" t="inlineStr">
        <is>
          <t>student.ts</t>
        </is>
      </c>
      <c r="I39" s="31" t="inlineStr">
        <is>
          <t>ناقص</t>
        </is>
      </c>
      <c r="J39" s="31" t="inlineStr">
        <is>
          <t>WP-S6</t>
        </is>
      </c>
      <c r="K39" s="31" t="inlineStr">
        <is>
          <t>نعم</t>
        </is>
      </c>
      <c r="L39" s="30" t="inlineStr">
        <is>
          <t>لا</t>
        </is>
      </c>
      <c r="M39" s="31" t="n"/>
    </row>
    <row r="40" ht="42" customHeight="1" s="26">
      <c r="A40" s="31" t="n">
        <v>36</v>
      </c>
      <c r="B40" s="31" t="inlineStr">
        <is>
          <t>Student</t>
        </is>
      </c>
      <c r="C40" s="31" t="inlineStr">
        <is>
          <t>GET</t>
        </is>
      </c>
      <c r="D40" s="31" t="inlineStr">
        <is>
          <t>/api/Student/Attendance</t>
        </is>
      </c>
      <c r="E40" s="31" t="inlineStr">
        <is>
          <t>query: from, to, courseId</t>
        </is>
      </c>
      <c r="F40" s="31" t="inlineStr">
        <is>
          <t>غير موثّق</t>
        </is>
      </c>
      <c r="G40" s="31" t="inlineStr">
        <is>
          <t>—</t>
        </is>
      </c>
      <c r="H40" s="31" t="inlineStr">
        <is>
          <t>student.ts</t>
        </is>
      </c>
      <c r="I40" s="31" t="inlineStr">
        <is>
          <t>ناقص</t>
        </is>
      </c>
      <c r="J40" s="31" t="inlineStr">
        <is>
          <t>WP-S7</t>
        </is>
      </c>
      <c r="K40" s="31" t="inlineStr">
        <is>
          <t>نعم</t>
        </is>
      </c>
      <c r="L40" s="30" t="inlineStr">
        <is>
          <t>لا</t>
        </is>
      </c>
      <c r="M40" s="31" t="n"/>
    </row>
    <row r="41" ht="42" customHeight="1" s="26">
      <c r="A41" s="31" t="n">
        <v>37</v>
      </c>
      <c r="B41" s="31" t="inlineStr">
        <is>
          <t>Student</t>
        </is>
      </c>
      <c r="C41" s="31" t="inlineStr">
        <is>
          <t>GET</t>
        </is>
      </c>
      <c r="D41" s="31" t="inlineStr">
        <is>
          <t>/api/Student/ExamResults</t>
        </is>
      </c>
      <c r="E41" s="31" t="inlineStr">
        <is>
          <t>query: courseId</t>
        </is>
      </c>
      <c r="F41" s="31" t="inlineStr">
        <is>
          <t>غير موثّق</t>
        </is>
      </c>
      <c r="G41" s="31" t="inlineStr">
        <is>
          <t>—</t>
        </is>
      </c>
      <c r="H41" s="31" t="inlineStr">
        <is>
          <t>student.ts</t>
        </is>
      </c>
      <c r="I41" s="31" t="inlineStr">
        <is>
          <t>ناقص</t>
        </is>
      </c>
      <c r="J41" s="31" t="inlineStr">
        <is>
          <t>WP-S8</t>
        </is>
      </c>
      <c r="K41" s="31" t="inlineStr">
        <is>
          <t>نعم</t>
        </is>
      </c>
      <c r="L41" s="30" t="inlineStr">
        <is>
          <t>لا</t>
        </is>
      </c>
      <c r="M41" s="31" t="n"/>
    </row>
    <row r="42" ht="42" customHeight="1" s="26">
      <c r="A42" s="31" t="n">
        <v>38</v>
      </c>
      <c r="B42" s="31" t="inlineStr">
        <is>
          <t>Student</t>
        </is>
      </c>
      <c r="C42" s="31" t="inlineStr">
        <is>
          <t>GET</t>
        </is>
      </c>
      <c r="D42" s="31" t="inlineStr">
        <is>
          <t>/api/Student/Progress</t>
        </is>
      </c>
      <c r="E42" s="31" t="inlineStr">
        <is>
          <t>—</t>
        </is>
      </c>
      <c r="F42" s="31" t="inlineStr">
        <is>
          <t>غير موثّق (StudentProgressDto بالكود)</t>
        </is>
      </c>
      <c r="G42" s="31" t="inlineStr">
        <is>
          <t>—</t>
        </is>
      </c>
      <c r="H42" s="31" t="inlineStr">
        <is>
          <t>student.ts</t>
        </is>
      </c>
      <c r="I42" s="31" t="inlineStr">
        <is>
          <t>ناقص</t>
        </is>
      </c>
      <c r="J42" s="31" t="inlineStr">
        <is>
          <t>WP-S9, S7</t>
        </is>
      </c>
      <c r="K42" s="31" t="inlineStr">
        <is>
          <t>لا</t>
        </is>
      </c>
      <c r="L42" s="30" t="inlineStr">
        <is>
          <t>—</t>
        </is>
      </c>
      <c r="M42" s="31" t="inlineStr">
        <is>
          <t>النوع موجود بالكود فقط</t>
        </is>
      </c>
    </row>
    <row r="43" ht="42" customHeight="1" s="26">
      <c r="A43" s="31" t="n">
        <v>39</v>
      </c>
      <c r="B43" s="31" t="inlineStr">
        <is>
          <t>Student</t>
        </is>
      </c>
      <c r="C43" s="31" t="inlineStr">
        <is>
          <t>GET</t>
        </is>
      </c>
      <c r="D43" s="31" t="inlineStr">
        <is>
          <t>/api/Student/Notifications</t>
        </is>
      </c>
      <c r="E43" s="31" t="inlineStr">
        <is>
          <t>query: unreadOnly, skip, pageSize</t>
        </is>
      </c>
      <c r="F43" s="31" t="inlineStr">
        <is>
          <t>غير موثّق</t>
        </is>
      </c>
      <c r="G43" s="31" t="inlineStr">
        <is>
          <t>getStudentNotifications</t>
        </is>
      </c>
      <c r="H43" s="31" t="inlineStr">
        <is>
          <t>student.ts</t>
        </is>
      </c>
      <c r="I43" s="31" t="inlineStr">
        <is>
          <t>جاهز</t>
        </is>
      </c>
      <c r="J43" s="31" t="inlineStr">
        <is>
          <t>(FR-S12)</t>
        </is>
      </c>
      <c r="K43" s="31" t="inlineStr">
        <is>
          <t>لا</t>
        </is>
      </c>
      <c r="L43" s="30" t="inlineStr">
        <is>
          <t>—</t>
        </is>
      </c>
      <c r="M43" s="31" t="n"/>
    </row>
    <row r="44" ht="42" customHeight="1" s="26">
      <c r="A44" s="31" t="n">
        <v>40</v>
      </c>
      <c r="B44" s="31" t="inlineStr">
        <is>
          <t>Student</t>
        </is>
      </c>
      <c r="C44" s="31" t="inlineStr">
        <is>
          <t>POST</t>
        </is>
      </c>
      <c r="D44" s="31" t="inlineStr">
        <is>
          <t>/api/Student/MarkNotificationRead</t>
        </is>
      </c>
      <c r="E44" s="31" t="inlineStr">
        <is>
          <t>query: id</t>
        </is>
      </c>
      <c r="F44" s="31" t="inlineStr">
        <is>
          <t>OperationResult</t>
        </is>
      </c>
      <c r="G44" s="31" t="inlineStr">
        <is>
          <t>markStudentNotificationRead</t>
        </is>
      </c>
      <c r="H44" s="31" t="inlineStr">
        <is>
          <t>student.ts</t>
        </is>
      </c>
      <c r="I44" s="31" t="inlineStr">
        <is>
          <t>جاهز</t>
        </is>
      </c>
      <c r="J44" s="31" t="inlineStr">
        <is>
          <t>(FR-S12)</t>
        </is>
      </c>
      <c r="K44" s="31" t="inlineStr">
        <is>
          <t>لا</t>
        </is>
      </c>
      <c r="L44" s="30" t="inlineStr">
        <is>
          <t>—</t>
        </is>
      </c>
      <c r="M44" s="31" t="n"/>
    </row>
    <row r="45" ht="42" customHeight="1" s="26">
      <c r="A45" s="31" t="n">
        <v>41</v>
      </c>
      <c r="B45" s="31" t="inlineStr">
        <is>
          <t>Teacher</t>
        </is>
      </c>
      <c r="C45" s="31" t="inlineStr">
        <is>
          <t>POST</t>
        </is>
      </c>
      <c r="D45" s="31" t="inlineStr">
        <is>
          <t>/api/Teacher/Search</t>
        </is>
      </c>
      <c r="E45" s="31" t="inlineStr">
        <is>
          <t>body: TeacherSearchFilterDto</t>
        </is>
      </c>
      <c r="F45" s="31" t="inlineStr">
        <is>
          <t>غير موثّق</t>
        </is>
      </c>
      <c r="G45" s="31" t="inlineStr">
        <is>
          <t>searchTeachers</t>
        </is>
      </c>
      <c r="H45" s="31" t="inlineStr">
        <is>
          <t>teachers.ts</t>
        </is>
      </c>
      <c r="I45" s="31" t="inlineStr">
        <is>
          <t>جاهز</t>
        </is>
      </c>
      <c r="J45" s="31" t="inlineStr">
        <is>
          <t>(عام)</t>
        </is>
      </c>
      <c r="K45" s="31" t="inlineStr">
        <is>
          <t>لا</t>
        </is>
      </c>
      <c r="L45" s="30" t="inlineStr">
        <is>
          <t>—</t>
        </is>
      </c>
      <c r="M45" s="31" t="n"/>
    </row>
    <row r="46" ht="42" customHeight="1" s="26">
      <c r="A46" s="31" t="n">
        <v>42</v>
      </c>
      <c r="B46" s="31" t="inlineStr">
        <is>
          <t>Teacher</t>
        </is>
      </c>
      <c r="C46" s="31" t="inlineStr">
        <is>
          <t>GET</t>
        </is>
      </c>
      <c r="D46" s="31" t="inlineStr">
        <is>
          <t>/api/Teacher/PublicProfile</t>
        </is>
      </c>
      <c r="E46" s="31" t="inlineStr">
        <is>
          <t>query: id</t>
        </is>
      </c>
      <c r="F46" s="31" t="inlineStr">
        <is>
          <t>غير موثّق</t>
        </is>
      </c>
      <c r="G46" s="31" t="inlineStr">
        <is>
          <t>getTeacherPublicProfile</t>
        </is>
      </c>
      <c r="H46" s="31" t="inlineStr">
        <is>
          <t>teachers.ts</t>
        </is>
      </c>
      <c r="I46" s="31" t="inlineStr">
        <is>
          <t>جاهز</t>
        </is>
      </c>
      <c r="J46" s="31" t="inlineStr">
        <is>
          <t>WP-S1</t>
        </is>
      </c>
      <c r="K46" s="31" t="inlineStr">
        <is>
          <t>لا</t>
        </is>
      </c>
      <c r="L46" s="30" t="inlineStr">
        <is>
          <t>—</t>
        </is>
      </c>
      <c r="M46" s="31" t="inlineStr">
        <is>
          <t>الأسماء فقط للمواد/الصفوف (بدون IDs)</t>
        </is>
      </c>
    </row>
    <row r="47" ht="42" customHeight="1" s="26">
      <c r="A47" s="31" t="n">
        <v>43</v>
      </c>
      <c r="B47" s="31" t="inlineStr">
        <is>
          <t>Teacher</t>
        </is>
      </c>
      <c r="C47" s="31" t="inlineStr">
        <is>
          <t>GET</t>
        </is>
      </c>
      <c r="D47" s="31" t="inlineStr">
        <is>
          <t>/api/Teacher/Availability</t>
        </is>
      </c>
      <c r="E47" s="31" t="inlineStr">
        <is>
          <t>query: teacherId, mode, date</t>
        </is>
      </c>
      <c r="F47" s="31" t="inlineStr">
        <is>
          <t>غير موثّق</t>
        </is>
      </c>
      <c r="G47" s="31" t="inlineStr">
        <is>
          <t>getTeacherAvailability</t>
        </is>
      </c>
      <c r="H47" s="31" t="inlineStr">
        <is>
          <t>teachers.ts</t>
        </is>
      </c>
      <c r="I47" s="31" t="inlineStr">
        <is>
          <t>جاهز</t>
        </is>
      </c>
      <c r="J47" s="31" t="inlineStr">
        <is>
          <t>WP-S1</t>
        </is>
      </c>
      <c r="K47" s="31" t="inlineStr">
        <is>
          <t>لا</t>
        </is>
      </c>
      <c r="L47" s="30" t="inlineStr">
        <is>
          <t>—</t>
        </is>
      </c>
      <c r="M47" s="31" t="n"/>
    </row>
    <row r="48" ht="42" customHeight="1" s="26">
      <c r="A48" s="31" t="n">
        <v>44</v>
      </c>
      <c r="B48" s="31" t="inlineStr">
        <is>
          <t>Teacher</t>
        </is>
      </c>
      <c r="C48" s="31" t="inlineStr">
        <is>
          <t>POST</t>
        </is>
      </c>
      <c r="D48" s="31" t="inlineStr">
        <is>
          <t>/api/Teacher/SetAvailability</t>
        </is>
      </c>
      <c r="E48" s="31" t="inlineStr">
        <is>
          <t>body: slots[...]</t>
        </is>
      </c>
      <c r="F48" s="31" t="inlineStr">
        <is>
          <t>OperationResult</t>
        </is>
      </c>
      <c r="G48" s="31" t="inlineStr">
        <is>
          <t>setMyTeacherAvailability</t>
        </is>
      </c>
      <c r="H48" s="31" t="inlineStr">
        <is>
          <t>teachers.ts</t>
        </is>
      </c>
      <c r="I48" s="31" t="inlineStr">
        <is>
          <t>جاهز</t>
        </is>
      </c>
      <c r="J48" s="31" t="inlineStr">
        <is>
          <t>(FR-T09)</t>
        </is>
      </c>
      <c r="K48" s="31" t="inlineStr">
        <is>
          <t>لا</t>
        </is>
      </c>
      <c r="L48" s="30" t="inlineStr">
        <is>
          <t>—</t>
        </is>
      </c>
      <c r="M48" s="31" t="n"/>
    </row>
    <row r="49" ht="42" customHeight="1" s="26">
      <c r="A49" s="31" t="n">
        <v>45</v>
      </c>
      <c r="B49" s="31" t="inlineStr">
        <is>
          <t>Teacher</t>
        </is>
      </c>
      <c r="C49" s="31" t="inlineStr">
        <is>
          <t>POST</t>
        </is>
      </c>
      <c r="D49" s="31" t="inlineStr">
        <is>
          <t>/api/Teacher/UpdateProfile</t>
        </is>
      </c>
      <c r="E49" s="31" t="inlineStr">
        <is>
          <t>body: TeacherProfileInputDto</t>
        </is>
      </c>
      <c r="F49" s="31" t="inlineStr">
        <is>
          <t>OperationResult</t>
        </is>
      </c>
      <c r="G49" s="31" t="inlineStr">
        <is>
          <t>updateMyTeacherProfile</t>
        </is>
      </c>
      <c r="H49" s="31" t="inlineStr">
        <is>
          <t>teachers.ts</t>
        </is>
      </c>
      <c r="I49" s="31" t="inlineStr">
        <is>
          <t>جاهز</t>
        </is>
      </c>
      <c r="J49" s="31" t="inlineStr">
        <is>
          <t>(FR-T08)</t>
        </is>
      </c>
      <c r="K49" s="31" t="inlineStr">
        <is>
          <t>لا</t>
        </is>
      </c>
      <c r="L49" s="30" t="inlineStr">
        <is>
          <t>—</t>
        </is>
      </c>
      <c r="M49" s="31" t="n"/>
    </row>
    <row r="50" ht="42" customHeight="1" s="26">
      <c r="A50" s="31" t="n">
        <v>46</v>
      </c>
      <c r="B50" s="31" t="inlineStr">
        <is>
          <t>Teacher</t>
        </is>
      </c>
      <c r="C50" s="31" t="inlineStr">
        <is>
          <t>GET</t>
        </is>
      </c>
      <c r="D50" s="31" t="inlineStr">
        <is>
          <t>/api/Teacher/CreateEditModal</t>
        </is>
      </c>
      <c r="E50" s="31" t="inlineStr">
        <is>
          <t>query: id</t>
        </is>
      </c>
      <c r="F50" s="31" t="inlineStr">
        <is>
          <t>غير موثّق</t>
        </is>
      </c>
      <c r="G50" s="31" t="inlineStr">
        <is>
          <t>getGradesList</t>
        </is>
      </c>
      <c r="H50" s="31" t="inlineStr">
        <is>
          <t>teachers.ts</t>
        </is>
      </c>
      <c r="I50" s="31" t="inlineStr">
        <is>
          <t>يحتاج تحقق</t>
        </is>
      </c>
      <c r="J50" s="31" t="inlineStr">
        <is>
          <t>WP-T1, S1</t>
        </is>
      </c>
      <c r="K50" s="31" t="inlineStr">
        <is>
          <t>نعم</t>
        </is>
      </c>
      <c r="L50" s="30" t="inlineStr">
        <is>
          <t>لا</t>
        </is>
      </c>
      <c r="M50" s="31" t="inlineStr">
        <is>
          <t>مصدر محتمل للصفوف والمواد (Q-04)</t>
        </is>
      </c>
    </row>
    <row r="51" ht="42" customHeight="1" s="26">
      <c r="A51" s="31" t="n">
        <v>47</v>
      </c>
      <c r="B51" s="31" t="inlineStr">
        <is>
          <t>Constant</t>
        </is>
      </c>
      <c r="C51" s="31" t="inlineStr">
        <is>
          <t>POST</t>
        </is>
      </c>
      <c r="D51" s="31" t="inlineStr">
        <is>
          <t>/api/Constant/GetAll</t>
        </is>
      </c>
      <c r="E51" s="31" t="inlineStr">
        <is>
          <t>body: DataTable</t>
        </is>
      </c>
      <c r="F51" s="31" t="inlineStr">
        <is>
          <t>غير موثّق</t>
        </is>
      </c>
      <c r="G51" s="31" t="inlineStr">
        <is>
          <t>(admin-constants.ts)</t>
        </is>
      </c>
      <c r="H51" s="31" t="inlineStr">
        <is>
          <t>admin-constants.ts</t>
        </is>
      </c>
      <c r="I51" s="31" t="inlineStr">
        <is>
          <t>يحتاج تحقق</t>
        </is>
      </c>
      <c r="J51" s="31" t="inlineStr">
        <is>
          <t>WP-T1, S1</t>
        </is>
      </c>
      <c r="K51" s="31" t="inlineStr">
        <is>
          <t>نعم</t>
        </is>
      </c>
      <c r="L51" s="30" t="inlineStr">
        <is>
          <t>لا</t>
        </is>
      </c>
      <c r="M51" s="31" t="inlineStr">
        <is>
          <t>مصدر محتمل لـ subjectId/categoryId (Q-04)</t>
        </is>
      </c>
    </row>
    <row r="52" ht="42" customHeight="1" s="26">
      <c r="A52" s="31" t="n">
        <v>48</v>
      </c>
      <c r="B52" s="31" t="inlineStr">
        <is>
          <t>Wallet</t>
        </is>
      </c>
      <c r="C52" s="31" t="inlineStr">
        <is>
          <t>GET</t>
        </is>
      </c>
      <c r="D52" s="31" t="inlineStr">
        <is>
          <t>/api/Wallet/MyWallet</t>
        </is>
      </c>
      <c r="E52" s="31" t="inlineStr">
        <is>
          <t>—</t>
        </is>
      </c>
      <c r="F52" s="31" t="inlineStr">
        <is>
          <t>غير موثّق (النوع بالكود)</t>
        </is>
      </c>
      <c r="G52" s="31" t="inlineStr">
        <is>
          <t>getMyWallet</t>
        </is>
      </c>
      <c r="H52" s="31" t="inlineStr">
        <is>
          <t>wallet.ts</t>
        </is>
      </c>
      <c r="I52" s="31" t="inlineStr">
        <is>
          <t>جاهز</t>
        </is>
      </c>
      <c r="J52" s="31" t="inlineStr">
        <is>
          <t>WP-S1</t>
        </is>
      </c>
      <c r="K52" s="31" t="inlineStr">
        <is>
          <t>لا</t>
        </is>
      </c>
      <c r="L52" s="30" t="inlineStr">
        <is>
          <t>—</t>
        </is>
      </c>
      <c r="M52" s="31" t="n"/>
    </row>
    <row r="53" ht="42" customHeight="1" s="26">
      <c r="A53" s="31" t="n">
        <v>49</v>
      </c>
      <c r="B53" s="31" t="inlineStr">
        <is>
          <t>Wallet</t>
        </is>
      </c>
      <c r="C53" s="31" t="inlineStr">
        <is>
          <t>POST</t>
        </is>
      </c>
      <c r="D53" s="31" t="inlineStr">
        <is>
          <t>/api/Wallet/GetTransactionHistory</t>
        </is>
      </c>
      <c r="E53" s="31" t="inlineStr">
        <is>
          <t>body: DataTable</t>
        </is>
      </c>
      <c r="F53" s="31" t="inlineStr">
        <is>
          <t>غير موثّق</t>
        </is>
      </c>
      <c r="G53" s="31" t="inlineStr">
        <is>
          <t>getTransactionHistory</t>
        </is>
      </c>
      <c r="H53" s="31" t="inlineStr">
        <is>
          <t>wallet.ts</t>
        </is>
      </c>
      <c r="I53" s="31" t="inlineStr">
        <is>
          <t>جاهز</t>
        </is>
      </c>
      <c r="J53" s="31" t="inlineStr">
        <is>
          <t>WP-W1, W2</t>
        </is>
      </c>
      <c r="K53" s="31" t="inlineStr">
        <is>
          <t>لا</t>
        </is>
      </c>
      <c r="L53" s="30" t="inlineStr">
        <is>
          <t>—</t>
        </is>
      </c>
      <c r="M53" s="31" t="inlineStr">
        <is>
          <t>بلا فلتر نوع من الباك اند</t>
        </is>
      </c>
    </row>
    <row r="54" ht="42" customHeight="1" s="26">
      <c r="A54" s="31" t="n">
        <v>50</v>
      </c>
      <c r="B54" s="31" t="inlineStr">
        <is>
          <t>Wallet</t>
        </is>
      </c>
      <c r="C54" s="31" t="inlineStr">
        <is>
          <t>POST</t>
        </is>
      </c>
      <c r="D54" s="31" t="inlineStr">
        <is>
          <t>/api/Wallet/SubmitTopUpRequest</t>
        </is>
      </c>
      <c r="E54" s="31" t="inlineStr">
        <is>
          <t>form: Amount, BankReferenceNo, ReceiptFile</t>
        </is>
      </c>
      <c r="F54" s="31" t="inlineStr">
        <is>
          <t>OperationResult</t>
        </is>
      </c>
      <c r="G54" s="31" t="inlineStr">
        <is>
          <t>submitTopUpRequest</t>
        </is>
      </c>
      <c r="H54" s="31" t="inlineStr">
        <is>
          <t>wallet.ts</t>
        </is>
      </c>
      <c r="I54" s="31" t="inlineStr">
        <is>
          <t>جاهز</t>
        </is>
      </c>
      <c r="J54" s="31" t="inlineStr">
        <is>
          <t>(FR-W01)</t>
        </is>
      </c>
      <c r="K54" s="31" t="inlineStr">
        <is>
          <t>لا</t>
        </is>
      </c>
      <c r="L54" s="30" t="inlineStr">
        <is>
          <t>—</t>
        </is>
      </c>
      <c r="M54" s="31" t="n"/>
    </row>
    <row r="55" ht="42" customHeight="1" s="26">
      <c r="A55" s="31" t="n">
        <v>51</v>
      </c>
      <c r="B55" s="31" t="inlineStr">
        <is>
          <t>Wallet</t>
        </is>
      </c>
      <c r="C55" s="31" t="inlineStr">
        <is>
          <t>POST</t>
        </is>
      </c>
      <c r="D55" s="31" t="inlineStr">
        <is>
          <t>/api/Wallet/SubmitWithdrawalRequest</t>
        </is>
      </c>
      <c r="E55" s="31" t="inlineStr">
        <is>
          <t>body: amount, bankIBAN, bankName, accountHolderName</t>
        </is>
      </c>
      <c r="F55" s="31" t="inlineStr">
        <is>
          <t>OperationResult</t>
        </is>
      </c>
      <c r="G55" s="31" t="inlineStr">
        <is>
          <t>submitWithdrawalRequest</t>
        </is>
      </c>
      <c r="H55" s="31" t="inlineStr">
        <is>
          <t>wallet.ts</t>
        </is>
      </c>
      <c r="I55" s="31" t="inlineStr">
        <is>
          <t>جاهز</t>
        </is>
      </c>
      <c r="J55" s="31" t="inlineStr">
        <is>
          <t>(FR-W04)</t>
        </is>
      </c>
      <c r="K55" s="31" t="inlineStr">
        <is>
          <t>لا</t>
        </is>
      </c>
      <c r="L55" s="30" t="inlineStr">
        <is>
          <t>—</t>
        </is>
      </c>
      <c r="M55" s="31" t="n"/>
    </row>
    <row r="56" ht="42" customHeight="1" s="26">
      <c r="A56" s="31" t="n">
        <v>52</v>
      </c>
      <c r="B56" s="31" t="inlineStr">
        <is>
          <t>Wallet</t>
        </is>
      </c>
      <c r="C56" s="31" t="inlineStr">
        <is>
          <t>*</t>
        </is>
      </c>
      <c r="D56" s="31" t="inlineStr">
        <is>
          <t>/api/Wallet/{GetPending*,VerifyTopUpRequest,DecideWithdrawalRequest,CompleteWithdrawal,GetReceiptImage}</t>
        </is>
      </c>
      <c r="E56" s="31" t="inlineStr">
        <is>
          <t>أدمن</t>
        </is>
      </c>
      <c r="F56" s="31" t="inlineStr">
        <is>
          <t>—</t>
        </is>
      </c>
      <c r="G56" s="31" t="inlineStr">
        <is>
          <t>(wallet.ts)</t>
        </is>
      </c>
      <c r="H56" s="31" t="inlineStr">
        <is>
          <t>wallet.ts</t>
        </is>
      </c>
      <c r="I56" s="31" t="inlineStr">
        <is>
          <t>جاهز</t>
        </is>
      </c>
      <c r="J56" s="31" t="inlineStr">
        <is>
          <t>(أدمن)</t>
        </is>
      </c>
      <c r="K56" s="31" t="inlineStr">
        <is>
          <t>لا</t>
        </is>
      </c>
      <c r="L56" s="30" t="inlineStr">
        <is>
          <t>—</t>
        </is>
      </c>
      <c r="M56" s="31" t="inlineStr">
        <is>
          <t>خارج النطاق</t>
        </is>
      </c>
    </row>
    <row r="57" ht="42" customHeight="1" s="26">
      <c r="A57" s="31" t="n">
        <v>53</v>
      </c>
      <c r="B57" s="31" t="inlineStr">
        <is>
          <t>Auth/User/UserPermission/Page</t>
        </is>
      </c>
      <c r="C57" s="31" t="inlineStr">
        <is>
          <t>*</t>
        </is>
      </c>
      <c r="D57" s="31" t="inlineStr">
        <is>
          <t>/api/Auth/*, /api/User/*, /api/UserPermission/*, /api/Page/*</t>
        </is>
      </c>
      <c r="E57" s="31" t="inlineStr">
        <is>
          <t>—</t>
        </is>
      </c>
      <c r="F57" s="31" t="inlineStr">
        <is>
          <t>—</t>
        </is>
      </c>
      <c r="G57" s="31" t="inlineStr">
        <is>
          <t>—</t>
        </is>
      </c>
      <c r="H57" s="31" t="inlineStr">
        <is>
          <t>—</t>
        </is>
      </c>
      <c r="I57" s="31" t="inlineStr">
        <is>
          <t>خارج النطاق</t>
        </is>
      </c>
      <c r="J57" s="31" t="inlineStr">
        <is>
          <t>—</t>
        </is>
      </c>
      <c r="K57" s="31" t="inlineStr">
        <is>
          <t>لا</t>
        </is>
      </c>
      <c r="L57" s="30" t="inlineStr">
        <is>
          <t>—</t>
        </is>
      </c>
      <c r="M57" s="31" t="inlineStr">
        <is>
          <t>لم تُفحص ضمن هذه الخطة</t>
        </is>
      </c>
    </row>
  </sheetData>
  <autoFilter ref="A4:M57"/>
  <conditionalFormatting sqref="I5:I57">
    <cfRule type="cellIs" rank="0" priority="2" equalAverage="0" operator="equal" aboveAverage="0" dxfId="1" text="" percent="0" bottom="0">
      <formula>"جاهز"</formula>
    </cfRule>
    <cfRule type="cellIs" rank="0" priority="3" equalAverage="0" operator="equal" aboveAverage="0" dxfId="0" text="" percent="0" bottom="0">
      <formula>"يحتاج تصحيح"</formula>
    </cfRule>
    <cfRule type="cellIs" rank="0" priority="4" equalAverage="0" operator="equal" aboveAverage="0" dxfId="0" text="" percent="0" bottom="0">
      <formula>"ناقص"</formula>
    </cfRule>
    <cfRule type="cellIs" rank="0" priority="5" equalAverage="0" operator="equal" aboveAverage="0" dxfId="2" text="" percent="0" bottom="0">
      <formula>"يحتاج تحقق"</formula>
    </cfRule>
    <cfRule type="cellIs" rank="0" priority="6" equalAverage="0" operator="equal" aboveAverage="0" dxfId="4" text="" percent="0" bottom="0">
      <formula>"خارج النطاق"</formula>
    </cfRule>
  </conditionalFormatting>
  <dataValidations count="1">
    <dataValidation sqref="L5:L57" showDropDown="0" showInputMessage="0" showErrorMessage="1" allowBlank="1" errorTitle="قيمة غير مسموحة" error="اختر من القائمة" type="list" errorStyle="stop" operator="between">
      <formula1>Lists!$D$2:$D$3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C00000"/>
    <outlinePr summaryBelow="1" summaryRight="1"/>
    <pageSetUpPr fitToPage="0"/>
  </sheetPr>
  <dimension ref="A1:H21"/>
  <sheetViews>
    <sheetView showFormulas="0" showGridLines="1" showRowColHeaders="1" showZeros="1" rightToLeft="1"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7" customWidth="1" style="25" min="1" max="1"/>
    <col width="24" customWidth="1" style="25" min="2" max="2"/>
    <col width="70" customWidth="1" style="25" min="3" max="3"/>
    <col width="44" customWidth="1" style="25" min="4" max="4"/>
    <col width="20" customWidth="1" style="25" min="5" max="5"/>
    <col width="10" customWidth="1" style="25" min="6" max="6"/>
    <col width="13" customWidth="1" style="25" min="7" max="7"/>
    <col width="26" customWidth="1" style="25" min="8" max="8"/>
  </cols>
  <sheetData>
    <row r="1" ht="42" customHeight="1" s="26">
      <c r="A1" s="27" t="inlineStr">
        <is>
          <t>فروقات Swagger ↔ الكود الحالي</t>
        </is>
      </c>
      <c r="B1" s="28" t="n"/>
      <c r="C1" s="28" t="n"/>
      <c r="D1" s="28" t="n"/>
      <c r="E1" s="28" t="n"/>
      <c r="F1" s="28" t="n"/>
      <c r="G1" s="28" t="n"/>
      <c r="H1" s="28" t="n"/>
    </row>
    <row r="2" ht="42" customHeight="1" s="26">
      <c r="A2" s="32" t="inlineStr">
        <is>
          <t>تُغلق فروقات WP-00 قبل بدء Wave 1.</t>
        </is>
      </c>
      <c r="B2" s="28" t="n"/>
      <c r="C2" s="28" t="n"/>
      <c r="D2" s="28" t="n"/>
      <c r="E2" s="28" t="n"/>
      <c r="F2" s="28" t="n"/>
      <c r="G2" s="28" t="n"/>
      <c r="H2" s="28" t="n"/>
    </row>
    <row r="3" ht="42" customHeight="1" s="26">
      <c r="A3" s="28" t="n"/>
      <c r="B3" s="28" t="n"/>
      <c r="C3" s="28" t="n"/>
      <c r="D3" s="28" t="n"/>
      <c r="E3" s="28" t="n"/>
      <c r="F3" s="28" t="n"/>
      <c r="G3" s="28" t="n"/>
      <c r="H3" s="28" t="n"/>
    </row>
    <row r="4" ht="42" customHeight="1" s="26">
      <c r="A4" s="40" t="inlineStr">
        <is>
          <t>ID</t>
        </is>
      </c>
      <c r="B4" s="40" t="inlineStr">
        <is>
          <t>الملف</t>
        </is>
      </c>
      <c r="C4" s="40" t="inlineStr">
        <is>
          <t>المشكلة</t>
        </is>
      </c>
      <c r="D4" s="40" t="inlineStr">
        <is>
          <t>الإصلاح</t>
        </is>
      </c>
      <c r="E4" s="40" t="inlineStr">
        <is>
          <t>WP / المهمة</t>
        </is>
      </c>
      <c r="F4" s="40" t="inlineStr">
        <is>
          <t>الخطورة</t>
        </is>
      </c>
      <c r="G4" s="40" t="inlineStr">
        <is>
          <t>الحالة</t>
        </is>
      </c>
      <c r="H4" s="40" t="inlineStr">
        <is>
          <t>ملاحظات</t>
        </is>
      </c>
    </row>
    <row r="5" ht="42" customHeight="1" s="26">
      <c r="A5" s="41" t="inlineStr">
        <is>
          <t>D-01</t>
        </is>
      </c>
      <c r="B5" s="31" t="inlineStr">
        <is>
          <t>bookings.ts</t>
        </is>
      </c>
      <c r="C5" s="31" t="inlineStr">
        <is>
          <t>submitBooking: الكود يرسل {teacherId, courseId, date, startTime, durationMinutes} ويتوقع BookingRow؛ Swagger: {teacherId, subjectId, gradeId, teachingMode, date, startTime, durationMinutes, studentNote} والرد OperationResult</t>
        </is>
      </c>
      <c r="D5" s="31" t="inlineStr">
        <is>
          <t>إعادة تعريف BookingInput وقيمة الإرجاع</t>
        </is>
      </c>
      <c r="E5" s="31" t="inlineStr">
        <is>
          <t>WP-00 (00-01)</t>
        </is>
      </c>
      <c r="F5" s="31" t="inlineStr">
        <is>
          <t>حرج</t>
        </is>
      </c>
      <c r="G5" s="30" t="inlineStr">
        <is>
          <t>مفتوح</t>
        </is>
      </c>
      <c r="H5" s="30" t="n"/>
    </row>
    <row r="6" ht="42" customHeight="1" s="26">
      <c r="A6" s="41" t="inlineStr">
        <is>
          <t>D-02</t>
        </is>
      </c>
      <c r="B6" s="31" t="inlineStr">
        <is>
          <t>bookings.ts</t>
        </is>
      </c>
      <c r="C6" s="31" t="inlineStr">
        <is>
          <t>decideBooking يرسل approve؛ Swagger الحقل accept</t>
        </is>
      </c>
      <c r="D6" s="31" t="inlineStr">
        <is>
          <t>تغيير اسم الحقل</t>
        </is>
      </c>
      <c r="E6" s="31" t="inlineStr">
        <is>
          <t>WP-00 (00-01)</t>
        </is>
      </c>
      <c r="F6" s="31" t="inlineStr">
        <is>
          <t>حرج</t>
        </is>
      </c>
      <c r="G6" s="30" t="inlineStr">
        <is>
          <t>مفتوح</t>
        </is>
      </c>
      <c r="H6" s="30" t="n"/>
    </row>
    <row r="7" ht="42" customHeight="1" s="26">
      <c r="A7" s="41" t="inlineStr">
        <is>
          <t>D-03</t>
        </is>
      </c>
      <c r="B7" s="31" t="inlineStr">
        <is>
          <t>bookings.ts</t>
        </is>
      </c>
      <c r="C7" s="31" t="inlineStr">
        <is>
          <t>rateBooking يرسل rating/comment؛ Swagger ratingValue/review</t>
        </is>
      </c>
      <c r="D7" s="31" t="inlineStr">
        <is>
          <t>تغيير الحقول</t>
        </is>
      </c>
      <c r="E7" s="31" t="inlineStr">
        <is>
          <t>WP-00 (00-01)</t>
        </is>
      </c>
      <c r="F7" s="31" t="inlineStr">
        <is>
          <t>حرج</t>
        </is>
      </c>
      <c r="G7" s="30" t="inlineStr">
        <is>
          <t>مفتوح</t>
        </is>
      </c>
      <c r="H7" s="30" t="n"/>
    </row>
    <row r="8" ht="42" customHeight="1" s="26">
      <c r="A8" s="41" t="inlineStr">
        <is>
          <t>D-04</t>
        </is>
      </c>
      <c r="B8" s="31" t="inlineStr">
        <is>
          <t>bookings.ts</t>
        </is>
      </c>
      <c r="C8" s="31" t="inlineStr">
        <is>
          <t>cancelBooking لا يمرّر reason (query) ويتوقع BookingRow؛ كما يوجد Student/CancelBooking (body) غير مربوط</t>
        </is>
      </c>
      <c r="D8" s="31" t="inlineStr">
        <is>
          <t>تمرير reason + اعتماد Student/CancelBooking في واجهة الطالب</t>
        </is>
      </c>
      <c r="E8" s="31" t="inlineStr">
        <is>
          <t>WP-00 / WP-S2</t>
        </is>
      </c>
      <c r="F8" s="31" t="inlineStr">
        <is>
          <t>مهم</t>
        </is>
      </c>
      <c r="G8" s="30" t="inlineStr">
        <is>
          <t>مفتوح</t>
        </is>
      </c>
      <c r="H8" s="30" t="n"/>
    </row>
    <row r="9" ht="42" customHeight="1" s="26">
      <c r="A9" s="41" t="inlineStr">
        <is>
          <t>D-05</t>
        </is>
      </c>
      <c r="B9" s="31" t="inlineStr">
        <is>
          <t>bookings.ts</t>
        </is>
      </c>
      <c r="C9" s="31" t="inlineStr">
        <is>
          <t>listTeacherBookings يرسل status كنص (Pending..)؛ Swagger رقم 1..6. وBookingStatus نصي هنا بينما رقمي بـ student.ts</t>
        </is>
      </c>
      <c r="D9" s="31" t="inlineStr">
        <is>
          <t>توحيد على الأرقام عبر enums.ts</t>
        </is>
      </c>
      <c r="E9" s="31" t="inlineStr">
        <is>
          <t>WP-00 (00-01, 00-07)</t>
        </is>
      </c>
      <c r="F9" s="31" t="inlineStr">
        <is>
          <t>حرج</t>
        </is>
      </c>
      <c r="G9" s="30" t="inlineStr">
        <is>
          <t>مفتوح</t>
        </is>
      </c>
      <c r="H9" s="30" t="n"/>
    </row>
    <row r="10" ht="42" customHeight="1" s="26">
      <c r="A10" s="41" t="inlineStr">
        <is>
          <t>D-06</t>
        </is>
      </c>
      <c r="B10" s="31" t="inlineStr">
        <is>
          <t>lessons.ts</t>
        </is>
      </c>
      <c r="C10" s="31" t="inlineStr">
        <is>
          <t>كل الدوال تتوقع LessonRow؛ Swagger يرجع OperationResult</t>
        </is>
      </c>
      <c r="D10" s="31" t="inlineStr">
        <is>
          <t>تغيير الإرجاع + assertOk</t>
        </is>
      </c>
      <c r="E10" s="31" t="inlineStr">
        <is>
          <t>WP-00 (00-03)</t>
        </is>
      </c>
      <c r="F10" s="31" t="inlineStr">
        <is>
          <t>مهم</t>
        </is>
      </c>
      <c r="G10" s="30" t="inlineStr">
        <is>
          <t>مفتوح</t>
        </is>
      </c>
      <c r="H10" s="30" t="n"/>
    </row>
    <row r="11" ht="42" customHeight="1" s="26">
      <c r="A11" s="41" t="inlineStr">
        <is>
          <t>D-07</t>
        </is>
      </c>
      <c r="B11" s="31" t="inlineStr">
        <is>
          <t>courses.ts</t>
        </is>
      </c>
      <c r="C11" s="31" t="inlineStr">
        <is>
          <t>لا توجد دوال: CreateEdit, ConfigureGroupSchedule, GetGroupStudents, GetMineById</t>
        </is>
      </c>
      <c r="D11" s="31" t="inlineStr">
        <is>
          <t>إضافتها</t>
        </is>
      </c>
      <c r="E11" s="31" t="inlineStr">
        <is>
          <t>WP-00 (00-04)</t>
        </is>
      </c>
      <c r="F11" s="31" t="inlineStr">
        <is>
          <t>حرج</t>
        </is>
      </c>
      <c r="G11" s="30" t="inlineStr">
        <is>
          <t>مفتوح</t>
        </is>
      </c>
      <c r="H11" s="30" t="n"/>
    </row>
    <row r="12" ht="42" customHeight="1" s="26">
      <c r="A12" s="41" t="inlineStr">
        <is>
          <t>D-08</t>
        </is>
      </c>
      <c r="B12" s="31" t="inlineStr">
        <is>
          <t>student.ts</t>
        </is>
      </c>
      <c r="C12" s="31" t="inlineStr">
        <is>
          <t>غير موجودة: GetBooking, BookingPayment, CancelBooking, RequestReschedule, MyRescheduleRequests, GetLesson, GetCourse, Attendance, ExamResults, Progress</t>
        </is>
      </c>
      <c r="D12" s="31" t="inlineStr">
        <is>
          <t>إضافتها</t>
        </is>
      </c>
      <c r="E12" s="31" t="inlineStr">
        <is>
          <t>WP-00 (00-05)</t>
        </is>
      </c>
      <c r="F12" s="31" t="inlineStr">
        <is>
          <t>حرج</t>
        </is>
      </c>
      <c r="G12" s="30" t="inlineStr">
        <is>
          <t>مفتوح</t>
        </is>
      </c>
      <c r="H12" s="30" t="n"/>
    </row>
    <row r="13" ht="42" customHeight="1" s="26">
      <c r="A13" s="41" t="inlineStr">
        <is>
          <t>D-09</t>
        </is>
      </c>
      <c r="B13" s="31" t="inlineStr">
        <is>
          <t>bookings.ts</t>
        </is>
      </c>
      <c r="C13" s="31" t="inlineStr">
        <is>
          <t>غير موجودة: TeacherRescheduleRequests, DecideReschedule</t>
        </is>
      </c>
      <c r="D13" s="31" t="inlineStr">
        <is>
          <t>إضافتها</t>
        </is>
      </c>
      <c r="E13" s="31" t="inlineStr">
        <is>
          <t>WP-00 (00-02)</t>
        </is>
      </c>
      <c r="F13" s="31" t="inlineStr">
        <is>
          <t>مهم</t>
        </is>
      </c>
      <c r="G13" s="30" t="inlineStr">
        <is>
          <t>مفتوح</t>
        </is>
      </c>
      <c r="H13" s="30" t="n"/>
    </row>
    <row r="14" ht="42" customHeight="1" s="26">
      <c r="A14" s="41" t="inlineStr">
        <is>
          <t>D-10</t>
        </is>
      </c>
      <c r="B14" s="31" t="inlineStr">
        <is>
          <t>student.ts + lessons.ts</t>
        </is>
      </c>
      <c r="C14" s="31" t="inlineStr">
        <is>
          <t>MeetingPlatform معرّف مرتين</t>
        </is>
      </c>
      <c r="D14" s="31" t="inlineStr">
        <is>
          <t>توحيده بـ enums.ts</t>
        </is>
      </c>
      <c r="E14" s="31" t="inlineStr">
        <is>
          <t>WP-00 (00-07)</t>
        </is>
      </c>
      <c r="F14" s="31" t="inlineStr">
        <is>
          <t>منخفض</t>
        </is>
      </c>
      <c r="G14" s="30" t="inlineStr">
        <is>
          <t>مفتوح</t>
        </is>
      </c>
      <c r="H14" s="30" t="n"/>
    </row>
    <row r="15" ht="42" customHeight="1" s="26">
      <c r="A15" s="41" t="inlineStr">
        <is>
          <t>D-11</t>
        </is>
      </c>
      <c r="B15" s="31" t="inlineStr">
        <is>
          <t>teacher.dashboard.tsx</t>
        </is>
      </c>
      <c r="C15" s="31" t="inlineStr">
        <is>
          <t>لوحة «طلبات الحجز» معطّلة بنص يشير لـ P0-1/P1-1 — قد لا يكون صحيحًا الآن بعد تحديث الباك اند</t>
        </is>
      </c>
      <c r="D15" s="31" t="inlineStr">
        <is>
          <t>التحقق ثم الاستبدال</t>
        </is>
      </c>
      <c r="E15" s="31" t="inlineStr">
        <is>
          <t>WP-T5 (T5-05)</t>
        </is>
      </c>
      <c r="F15" s="31" t="inlineStr">
        <is>
          <t>مهم</t>
        </is>
      </c>
      <c r="G15" s="30" t="inlineStr">
        <is>
          <t>مفتوح</t>
        </is>
      </c>
      <c r="H15" s="30" t="n"/>
    </row>
    <row r="16" ht="42" customHeight="1" s="26">
      <c r="A16" s="41" t="inlineStr">
        <is>
          <t>D-12</t>
        </is>
      </c>
      <c r="B16" s="31" t="inlineStr">
        <is>
          <t>teacher.courses.tsx</t>
        </is>
      </c>
      <c r="C16" s="31" t="inlineStr">
        <is>
          <t>placeholder «قيد التطوير» بنص P1-1/P1-3 قديم</t>
        </is>
      </c>
      <c r="D16" s="31" t="inlineStr">
        <is>
          <t>استبدال</t>
        </is>
      </c>
      <c r="E16" s="31" t="inlineStr">
        <is>
          <t>WP-T1 (T1-01)</t>
        </is>
      </c>
      <c r="F16" s="31" t="inlineStr">
        <is>
          <t>مهم</t>
        </is>
      </c>
      <c r="G16" s="30" t="inlineStr">
        <is>
          <t>مفتوح</t>
        </is>
      </c>
      <c r="H16" s="30" t="n"/>
    </row>
    <row r="17" ht="42" customHeight="1" s="26">
      <c r="A17" s="41" t="inlineStr">
        <is>
          <t>D-13</t>
        </is>
      </c>
      <c r="B17" s="31" t="inlineStr">
        <is>
          <t>teacher.$id.tsx</t>
        </is>
      </c>
      <c r="C17" s="31" t="inlineStr">
        <is>
          <t>زر الحجز معطّل بنص «غير مفعّل بالباك اند» — قديم</t>
        </is>
      </c>
      <c r="D17" s="31" t="inlineStr">
        <is>
          <t>تفعيله</t>
        </is>
      </c>
      <c r="E17" s="31" t="inlineStr">
        <is>
          <t>WP-S1 (S1-06)</t>
        </is>
      </c>
      <c r="F17" s="31" t="inlineStr">
        <is>
          <t>مهم</t>
        </is>
      </c>
      <c r="G17" s="30" t="inlineStr">
        <is>
          <t>مفتوح</t>
        </is>
      </c>
      <c r="H17" s="30" t="n"/>
    </row>
    <row r="18" ht="42" customHeight="1" s="26">
      <c r="A18" s="41" t="inlineStr">
        <is>
          <t>D-14</t>
        </is>
      </c>
      <c r="B18" s="31" t="inlineStr">
        <is>
          <t>bookings.ts / lessons.ts (تعليقات الرأس)</t>
        </is>
      </c>
      <c r="C18" s="31" t="inlineStr">
        <is>
          <t>تشير لملفات docs/operations/* غير موجودة بالـ zip وتصف حالة قديمة</t>
        </is>
      </c>
      <c r="D18" s="31" t="inlineStr">
        <is>
          <t>لا تُعتمد؛ المصدر الآن Swagger + SRS + هذا الملف</t>
        </is>
      </c>
      <c r="E18" s="31" t="inlineStr">
        <is>
          <t>—</t>
        </is>
      </c>
      <c r="F18" s="31" t="inlineStr">
        <is>
          <t>معلومة</t>
        </is>
      </c>
      <c r="G18" s="30" t="inlineStr">
        <is>
          <t>مفتوح</t>
        </is>
      </c>
      <c r="H18" s="30" t="n"/>
    </row>
    <row r="19" ht="42" customHeight="1" s="26">
      <c r="A19" s="41" t="inlineStr">
        <is>
          <t>D-15</t>
        </is>
      </c>
      <c r="B19" s="31" t="inlineStr">
        <is>
          <t>Swagger</t>
        </is>
      </c>
      <c r="C19" s="31" t="inlineStr">
        <is>
          <t>ردود GET وكثير من الـ POST بلا Schema موثّق (فقط OperationResult للكتابة)</t>
        </is>
      </c>
      <c r="D19" s="31" t="inlineStr">
        <is>
          <t>جمع عينات JSON حقيقية (Q-05)</t>
        </is>
      </c>
      <c r="E19" s="31" t="inlineStr">
        <is>
          <t>WP-00 (00-18)</t>
        </is>
      </c>
      <c r="F19" s="31" t="inlineStr">
        <is>
          <t>حرج</t>
        </is>
      </c>
      <c r="G19" s="30" t="inlineStr">
        <is>
          <t>مفتوح</t>
        </is>
      </c>
      <c r="H19" s="30" t="n"/>
    </row>
    <row r="20" ht="42" customHeight="1" s="26">
      <c r="A20" s="41" t="inlineStr">
        <is>
          <t>D-16</t>
        </is>
      </c>
      <c r="B20" s="31" t="inlineStr">
        <is>
          <t>SRS FR-W03a/b</t>
        </is>
      </c>
      <c r="C20" s="31" t="inlineStr">
        <is>
          <t>نص SRS يصف خصم رسوم «التسجيل» عند موافقة المعلم على طلب انضمام (Join Request) ولا يوجد endpoint انضمام/تسجيل في Swagger</t>
        </is>
      </c>
      <c r="D20" s="31" t="inlineStr">
        <is>
          <t>نفّذنا جانب العرض فقط + سؤال Q-19</t>
        </is>
      </c>
      <c r="E20" s="31" t="inlineStr">
        <is>
          <t>WP-W1/W2</t>
        </is>
      </c>
      <c r="F20" s="31" t="inlineStr">
        <is>
          <t>مهم</t>
        </is>
      </c>
      <c r="G20" s="30" t="inlineStr">
        <is>
          <t>مفتوح</t>
        </is>
      </c>
      <c r="H20" s="30" t="n"/>
    </row>
    <row r="21" ht="42" customHeight="1" s="26">
      <c r="A21" s="41" t="inlineStr">
        <is>
          <t>D-17</t>
        </is>
      </c>
      <c r="B21" s="31" t="inlineStr">
        <is>
          <t>audit report</t>
        </is>
      </c>
      <c r="C21" s="31" t="inlineStr">
        <is>
          <t>جدول التقرير يحوي 11 جاهز/5 جزئي بالأسطر وملخصه 11/6/13: صُنِّف FR-P08 جزئيًا لمطابقة الملخص</t>
        </is>
      </c>
      <c r="D21" s="31" t="inlineStr">
        <is>
          <t>تأكيد من المستخدم (Q-18)</t>
        </is>
      </c>
      <c r="E21" s="31" t="inlineStr">
        <is>
          <t>—</t>
        </is>
      </c>
      <c r="F21" s="31" t="inlineStr">
        <is>
          <t>معلومة</t>
        </is>
      </c>
      <c r="G21" s="30" t="inlineStr">
        <is>
          <t>مفتوح</t>
        </is>
      </c>
      <c r="H21" s="30" t="n"/>
    </row>
  </sheetData>
  <conditionalFormatting sqref="F5:F21">
    <cfRule type="cellIs" rank="0" priority="2" equalAverage="0" operator="equal" aboveAverage="0" dxfId="0" text="" percent="0" bottom="0">
      <formula>"حرج"</formula>
    </cfRule>
  </conditionalFormatting>
  <dataValidations count="1">
    <dataValidation sqref="G5:G51" showDropDown="0" showInputMessage="0" showErrorMessage="1" allowBlank="1" errorTitle="قيمة غير مسموحة" error="اختر من القائمة" type="list" errorStyle="stop" operator="between">
      <formula1>Lists!$H$2:$H$4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FF0000"/>
    <outlinePr summaryBelow="1" summaryRight="1"/>
    <pageSetUpPr fitToPage="0"/>
  </sheetPr>
  <dimension ref="A1:J23"/>
  <sheetViews>
    <sheetView showFormulas="0" showGridLines="1" showRowColHeaders="1" showZeros="1" rightToLeft="1"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25" min="1" max="1"/>
    <col width="64" customWidth="1" style="25" min="2" max="2"/>
    <col width="40" customWidth="1" style="25" min="3" max="3"/>
    <col width="18" customWidth="1" style="25" min="4" max="4"/>
    <col width="9" customWidth="1" style="25" min="5" max="5"/>
    <col width="40" customWidth="1" style="25" min="6" max="6"/>
    <col width="16" customWidth="1" style="25" min="7" max="7"/>
    <col width="13" customWidth="1" style="25" min="8" max="8"/>
    <col width="40" customWidth="1" style="25" min="9" max="9"/>
    <col width="12" customWidth="1" style="25" min="10" max="10"/>
  </cols>
  <sheetData>
    <row r="1" ht="42" customHeight="1" s="26">
      <c r="A1" s="27" t="inlineStr">
        <is>
          <t>الأسئلة المفتوحة (تحتاج إجابة قبل/أثناء التنفيذ)</t>
        </is>
      </c>
      <c r="B1" s="28" t="n"/>
      <c r="C1" s="28" t="n"/>
      <c r="D1" s="28" t="n"/>
      <c r="E1" s="28" t="n"/>
      <c r="F1" s="28" t="n"/>
      <c r="G1" s="28" t="n"/>
      <c r="H1" s="28" t="n"/>
      <c r="I1" s="28" t="n"/>
      <c r="J1" s="28" t="n"/>
    </row>
    <row r="2" ht="42" customHeight="1" s="26">
      <c r="A2" s="32" t="inlineStr">
        <is>
          <t>«حاجب» = يوقف WPs معيّنة. «الافتراض الافتراضي» = ما يعمل به المطوّر لحين الإجابة. عند الإجابة: غيّر الحالة وسجّل الإجابة وحدّث المتأثرين.</t>
        </is>
      </c>
      <c r="B2" s="28" t="n"/>
      <c r="C2" s="28" t="n"/>
      <c r="D2" s="28" t="n"/>
      <c r="E2" s="28" t="n"/>
      <c r="F2" s="28" t="n"/>
      <c r="G2" s="28" t="n"/>
      <c r="H2" s="28" t="n"/>
      <c r="I2" s="28" t="n"/>
      <c r="J2" s="28" t="n"/>
    </row>
    <row r="3" ht="42" customHeight="1" s="26">
      <c r="A3" s="28" t="n"/>
      <c r="B3" s="28" t="n"/>
      <c r="C3" s="28" t="n"/>
      <c r="D3" s="28" t="n"/>
      <c r="E3" s="28" t="n"/>
      <c r="F3" s="28" t="n"/>
      <c r="G3" s="28" t="n"/>
      <c r="H3" s="28" t="n"/>
      <c r="I3" s="28" t="n"/>
      <c r="J3" s="28" t="n"/>
    </row>
    <row r="4" ht="42" customHeight="1" s="26">
      <c r="A4" s="40" t="inlineStr">
        <is>
          <t>ID</t>
        </is>
      </c>
      <c r="B4" s="40" t="inlineStr">
        <is>
          <t>السؤال</t>
        </is>
      </c>
      <c r="C4" s="40" t="inlineStr">
        <is>
          <t>لماذا يهم</t>
        </is>
      </c>
      <c r="D4" s="40" t="inlineStr">
        <is>
          <t>يؤثر على</t>
        </is>
      </c>
      <c r="E4" s="40" t="inlineStr">
        <is>
          <t>الخطورة</t>
        </is>
      </c>
      <c r="F4" s="40" t="inlineStr">
        <is>
          <t>الافتراض الافتراضي</t>
        </is>
      </c>
      <c r="G4" s="40" t="inlineStr">
        <is>
          <t>من يجيب</t>
        </is>
      </c>
      <c r="H4" s="40" t="inlineStr">
        <is>
          <t>الحالة</t>
        </is>
      </c>
      <c r="I4" s="40" t="inlineStr">
        <is>
          <t>الإجابة</t>
        </is>
      </c>
      <c r="J4" s="40" t="inlineStr">
        <is>
          <t>تاريخ الإجابة</t>
        </is>
      </c>
    </row>
    <row r="5" ht="42" customHeight="1" s="26">
      <c r="A5" s="41" t="inlineStr">
        <is>
          <t>Q-01</t>
        </is>
      </c>
      <c r="B5" s="31" t="inlineStr">
        <is>
          <t>كيف يحصل المعلم على قائمة كورساته؟ هل Course/GetAll يفلتر حسب المعلم المسجَّل أم يرجع كل الكورسات؟</t>
        </is>
      </c>
      <c r="C5" s="31" t="inlineStr">
        <is>
          <t>بدونه لا تصح قائمة كورساتي (قد تُعرض كورسات معلمين آخرين)</t>
        </is>
      </c>
      <c r="D5" s="31" t="inlineStr">
        <is>
          <t>WP-T1</t>
        </is>
      </c>
      <c r="E5" s="31" t="inlineStr">
        <is>
          <t>حاجب</t>
        </is>
      </c>
      <c r="F5" s="31" t="inlineStr">
        <is>
          <t>نستدعي GetAll ونفلتر محليًا بـ teacherId إذا توفر؛ وإلا نوقف المهمة</t>
        </is>
      </c>
      <c r="G5" s="31" t="inlineStr">
        <is>
          <t>فريق الباك اند</t>
        </is>
      </c>
      <c r="H5" s="30" t="inlineStr">
        <is>
          <t>مفتوح</t>
        </is>
      </c>
      <c r="I5" s="30" t="n"/>
      <c r="J5" s="42" t="n"/>
    </row>
    <row r="6" ht="42" customHeight="1" s="26">
      <c r="A6" s="41" t="inlineStr">
        <is>
          <t>Q-02</t>
        </is>
      </c>
      <c r="B6" s="31" t="inlineStr">
        <is>
          <t>كيف نعرف groupId لكل كورس؟ ما شكل رد GetById/GetMineById؟ هل للكورس أكثر من مجموعة؟</t>
        </is>
      </c>
      <c r="C6" s="31" t="inlineStr">
        <is>
          <t>ConfigureGroupSchedule وGetGroupStudents وGetSchedule تحتاج groupId</t>
        </is>
      </c>
      <c r="D6" s="31" t="inlineStr">
        <is>
          <t>WP-T1, T2, T3, T4</t>
        </is>
      </c>
      <c r="E6" s="31" t="inlineStr">
        <is>
          <t>حاجب</t>
        </is>
      </c>
      <c r="F6" s="31" t="inlineStr">
        <is>
          <t>نفترض مجموعة واحدة ويُقرأ groupId من رد GetMineById</t>
        </is>
      </c>
      <c r="G6" s="31" t="inlineStr">
        <is>
          <t>فريق الباك اند</t>
        </is>
      </c>
      <c r="H6" s="30" t="inlineStr">
        <is>
          <t>مفتوح</t>
        </is>
      </c>
      <c r="I6" s="30" t="n"/>
      <c r="J6" s="42" t="n"/>
    </row>
    <row r="7" ht="42" customHeight="1" s="26">
      <c r="A7" s="41" t="inlineStr">
        <is>
          <t>Q-03</t>
        </is>
      </c>
      <c r="B7" s="31" t="inlineStr">
        <is>
          <t>هل Course/CreateEdit يأخذ teacherId من الجلسة أم يجب أن نرسله؟ وكيف يعرف المعلم رقم Teacher.Id الخاص به؟ (هل حُلّ ربط الحساب بالمعلم؟)</t>
        </is>
      </c>
      <c r="C7" s="31" t="inlineStr">
        <is>
          <t>الـDTO يتطلب teacherId</t>
        </is>
      </c>
      <c r="D7" s="31" t="inlineStr">
        <is>
          <t>WP-T1</t>
        </is>
      </c>
      <c r="E7" s="31" t="inlineStr">
        <is>
          <t>حاجب</t>
        </is>
      </c>
      <c r="F7" s="31" t="inlineStr">
        <is>
          <t>لا نرسل teacherId إن كان الباك اند يتجاهله؛ نختبر بحساب معلم حقيقي</t>
        </is>
      </c>
      <c r="G7" s="31" t="inlineStr">
        <is>
          <t>فريق الباك اند</t>
        </is>
      </c>
      <c r="H7" s="30" t="inlineStr">
        <is>
          <t>مفتوح</t>
        </is>
      </c>
      <c r="I7" s="30" t="n"/>
      <c r="J7" s="42" t="n"/>
    </row>
    <row r="8" ht="42" customHeight="1" s="26">
      <c r="A8" s="41" t="inlineStr">
        <is>
          <t>Q-04</t>
        </is>
      </c>
      <c r="B8" s="31" t="inlineStr">
        <is>
          <t>من أين نجلب قوائم المواد/التصنيفات/الصفوف (IDs)؟ Teacher/CreateEditModal أم Constant/GetAll (وبأي parentId)؟ وهل ملف المعلم العام يرجّع IDs للمواد والصفوف؟</t>
        </is>
      </c>
      <c r="C8" s="31" t="inlineStr">
        <is>
          <t>نموذج الكورس ونموذج الحجز يتطلبان subjectId/gradeId/categoryId</t>
        </is>
      </c>
      <c r="D8" s="31" t="inlineStr">
        <is>
          <t>WP-T1, S1</t>
        </is>
      </c>
      <c r="E8" s="31" t="inlineStr">
        <is>
          <t>حاجب</t>
        </is>
      </c>
      <c r="F8" s="31" t="inlineStr">
        <is>
          <t>نقرأ من Teacher/CreateEditModal ونعرض رسالة صادقة إن كانت القوائم فارغة</t>
        </is>
      </c>
      <c r="G8" s="31" t="inlineStr">
        <is>
          <t>فريق الباك اند</t>
        </is>
      </c>
      <c r="H8" s="30" t="inlineStr">
        <is>
          <t>مفتوح</t>
        </is>
      </c>
      <c r="I8" s="30" t="n"/>
      <c r="J8" s="42" t="n"/>
    </row>
    <row r="9" ht="42" customHeight="1" s="26">
      <c r="A9" s="41" t="inlineStr">
        <is>
          <t>Q-05</t>
        </is>
      </c>
      <c r="B9" s="31" t="inlineStr">
        <is>
          <t>عينات JSON حقيقية لردود: Booking/MyBookings, TeacherBookings, TeacherRescheduleRequests · Student/GetBooking, GetLesson, GetCourse, Attendance, ExamResults, BookingPayment, MyRescheduleRequests · Course/GetGroupStudents, GetMineById, GetAll · Lesson/GetSchedule</t>
        </is>
      </c>
      <c r="C9" s="31" t="inlineStr">
        <is>
          <t>Swagger لا يوثّق schema لهذه الردود؛ الأنواع ستكون تخمينًا</t>
        </is>
      </c>
      <c r="D9" s="31" t="inlineStr">
        <is>
          <t>WP-00 + أغلب Wave 1</t>
        </is>
      </c>
      <c r="E9" s="31" t="inlineStr">
        <is>
          <t>حاجب</t>
        </is>
      </c>
      <c r="F9" s="31" t="inlineStr">
        <is>
          <t>أنواع متساهلة (حقول اختيارية) مع علامة TODO</t>
        </is>
      </c>
      <c r="G9" s="31" t="inlineStr">
        <is>
          <t>المستخدم (من Try it out)</t>
        </is>
      </c>
      <c r="H9" s="30" t="inlineStr">
        <is>
          <t>مفتوح</t>
        </is>
      </c>
      <c r="I9" s="30" t="n"/>
      <c r="J9" s="42" t="n"/>
    </row>
    <row r="10" ht="42" customHeight="1" s="26">
      <c r="A10" s="41" t="inlineStr">
        <is>
          <t>Q-06</t>
        </is>
      </c>
      <c r="B10" s="31" t="inlineStr">
        <is>
          <t>متى يُخصم مبلغ الحجز بالضبط؟ عند قبول المعلم (كما في تعليق الكود وSRS FR-T06) أم عند الإرسال؟ وماذا يحدث لو رصيد الطالب غير كافٍ عند القبول؟</t>
        </is>
      </c>
      <c r="C10" s="31" t="inlineStr">
        <is>
          <t>يحدد نص الواجهة ومنطق تنبيه الرصيد</t>
        </is>
      </c>
      <c r="D10" s="31" t="inlineStr">
        <is>
          <t>WP-S1, S2, T5, W1</t>
        </is>
      </c>
      <c r="E10" s="31" t="inlineStr">
        <is>
          <t>مهم</t>
        </is>
      </c>
      <c r="F10" s="31" t="inlineStr">
        <is>
          <t>نفترض الخصم عند قبول المعلم</t>
        </is>
      </c>
      <c r="G10" s="31" t="inlineStr">
        <is>
          <t>فريق الباك اند</t>
        </is>
      </c>
      <c r="H10" s="30" t="inlineStr">
        <is>
          <t>مفتوح</t>
        </is>
      </c>
      <c r="I10" s="30" t="n"/>
      <c r="J10" s="42" t="n"/>
    </row>
    <row r="11" ht="42" customHeight="1" s="26">
      <c r="A11" s="41" t="inlineStr">
        <is>
          <t>Q-07</t>
        </is>
      </c>
      <c r="B11" s="31" t="inlineStr">
        <is>
          <t>من يحق له Booking/Submit: الطالب فقط أم ولي الأمر أيضًا (باسم الابن)؟</t>
        </is>
      </c>
      <c r="C11" s="31" t="inlineStr">
        <is>
          <t>يحدد من يرى زر الحجز</t>
        </is>
      </c>
      <c r="D11" s="31" t="inlineStr">
        <is>
          <t>WP-S1</t>
        </is>
      </c>
      <c r="E11" s="31" t="inlineStr">
        <is>
          <t>مهم</t>
        </is>
      </c>
      <c r="F11" s="31" t="inlineStr">
        <is>
          <t>الطالب فقط</t>
        </is>
      </c>
      <c r="G11" s="31" t="inlineStr">
        <is>
          <t>صاحب المنتج</t>
        </is>
      </c>
      <c r="H11" s="30" t="inlineStr">
        <is>
          <t>مفتوح</t>
        </is>
      </c>
      <c r="I11" s="30" t="n"/>
      <c r="J11" s="42" t="n"/>
    </row>
    <row r="12" ht="42" customHeight="1" s="26">
      <c r="A12" s="41" t="inlineStr">
        <is>
          <t>Q-08</t>
        </is>
      </c>
      <c r="B12" s="31" t="inlineStr">
        <is>
          <t>سياسة الإلغاء: هل يرجع الباك اند الموعد النهائي/نص السياسة أم رسالة خطأ فقط؟ وهل يوجد استرجاع للمبلغ؟</t>
        </is>
      </c>
      <c r="C12" s="31" t="inlineStr">
        <is>
          <t>FR-S14 يطلب عرض السياسة عند الرفض</t>
        </is>
      </c>
      <c r="D12" s="31" t="inlineStr">
        <is>
          <t>WP-S2</t>
        </is>
      </c>
      <c r="E12" s="31" t="inlineStr">
        <is>
          <t>مهم</t>
        </is>
      </c>
      <c r="F12" s="31" t="inlineStr">
        <is>
          <t>نعرض رسالة الباك اند كما هي</t>
        </is>
      </c>
      <c r="G12" s="31" t="inlineStr">
        <is>
          <t>فريق الباك اند</t>
        </is>
      </c>
      <c r="H12" s="30" t="inlineStr">
        <is>
          <t>مفتوح</t>
        </is>
      </c>
      <c r="I12" s="30" t="n"/>
      <c r="J12" s="42" t="n"/>
    </row>
    <row r="13" ht="42" customHeight="1" s="26">
      <c r="A13" s="41" t="inlineStr">
        <is>
          <t>Q-09</t>
        </is>
      </c>
      <c r="B13" s="31" t="inlineStr">
        <is>
          <t>قواعد أهلية إعادة الجدولة (الحالات المسموحة، المهلة، عدد المرات)؟</t>
        </is>
      </c>
      <c r="C13" s="31" t="inlineStr">
        <is>
          <t>منطق إظهار الزر</t>
        </is>
      </c>
      <c r="D13" s="31" t="inlineStr">
        <is>
          <t>WP-S3</t>
        </is>
      </c>
      <c r="E13" s="31" t="inlineStr">
        <is>
          <t>مهم</t>
        </is>
      </c>
      <c r="F13" s="31" t="inlineStr">
        <is>
          <t>Confirmed ولم يبدأ فقط</t>
        </is>
      </c>
      <c r="G13" s="31" t="inlineStr">
        <is>
          <t>فريق الباك اند</t>
        </is>
      </c>
      <c r="H13" s="30" t="inlineStr">
        <is>
          <t>مفتوح</t>
        </is>
      </c>
      <c r="I13" s="30" t="n"/>
      <c r="J13" s="42" t="n"/>
    </row>
    <row r="14" ht="42" customHeight="1" s="26">
      <c r="A14" s="41" t="inlineStr">
        <is>
          <t>Q-10</t>
        </is>
      </c>
      <c r="B14" s="31" t="inlineStr">
        <is>
          <t>هل Student/GetBooking يرجع حقلًا يدل أن الحجز مُقيَّم سابقًا (isRated/rating)؟</t>
        </is>
      </c>
      <c r="C14" s="31" t="inlineStr">
        <is>
          <t>لإخفاء زر التقييم</t>
        </is>
      </c>
      <c r="D14" s="31" t="inlineStr">
        <is>
          <t>WP-S4</t>
        </is>
      </c>
      <c r="E14" s="31" t="inlineStr">
        <is>
          <t>عادي</t>
        </is>
      </c>
      <c r="F14" s="31" t="inlineStr">
        <is>
          <t>نُظهر الزر لـ Completed ونعرض رسالة الباك اند عند التكرار</t>
        </is>
      </c>
      <c r="G14" s="31" t="inlineStr">
        <is>
          <t>فريق الباك اند</t>
        </is>
      </c>
      <c r="H14" s="30" t="inlineStr">
        <is>
          <t>مفتوح</t>
        </is>
      </c>
      <c r="I14" s="30" t="n"/>
      <c r="J14" s="42" t="n"/>
    </row>
    <row r="15" ht="42" customHeight="1" s="26">
      <c r="A15" s="41" t="inlineStr">
        <is>
          <t>Q-11</t>
        </is>
      </c>
      <c r="B15" s="31" t="inlineStr">
        <is>
          <t>عدد الإشعارات غير المقروءة بـ Parent/MyChildren: هل هو لكل ابن أم لحساب ولي الأمر؟ وهل يوجد endpoint لقائمة إشعارات ولي الأمر؟ (غير موجود بـ Swagger)</t>
        </is>
      </c>
      <c r="C15" s="31" t="inlineStr">
        <is>
          <t>SRS FR-P11 يطلب عدد إشعارات حساب ولي الأمر</t>
        </is>
      </c>
      <c r="D15" s="31" t="inlineStr">
        <is>
          <t>WP-P1</t>
        </is>
      </c>
      <c r="E15" s="31" t="inlineStr">
        <is>
          <t>مهم</t>
        </is>
      </c>
      <c r="F15" s="31" t="inlineStr">
        <is>
          <t>نعرض عدد الابن النشط + إجمالي الأبناء بتسمية واضحة</t>
        </is>
      </c>
      <c r="G15" s="31" t="inlineStr">
        <is>
          <t>فريق الباك اند</t>
        </is>
      </c>
      <c r="H15" s="30" t="inlineStr">
        <is>
          <t>مفتوح</t>
        </is>
      </c>
      <c r="I15" s="30" t="n"/>
      <c r="J15" s="42" t="n"/>
    </row>
    <row r="16" ht="42" customHeight="1" s="26">
      <c r="A16" s="41" t="inlineStr">
        <is>
          <t>Q-12</t>
        </is>
      </c>
      <c r="B16" s="31" t="inlineStr">
        <is>
          <t>هل يوجد endpoint/حقل لنسبة العمولة أو ملخص الأرباح؟ (غير موجود بـ Swagger)</t>
        </is>
      </c>
      <c r="C16" s="31" t="inlineStr">
        <is>
          <t>FR-W03b: عرض صافي الإيداع</t>
        </is>
      </c>
      <c r="D16" s="31" t="inlineStr">
        <is>
          <t>WP-W2</t>
        </is>
      </c>
      <c r="E16" s="31" t="inlineStr">
        <is>
          <t>عادي</t>
        </is>
      </c>
      <c r="F16" s="31" t="inlineStr">
        <is>
          <t>لا نعرض أرقام عمولة؛ نص توضيحي فقط</t>
        </is>
      </c>
      <c r="G16" s="31" t="inlineStr">
        <is>
          <t>فريق الباك اند</t>
        </is>
      </c>
      <c r="H16" s="30" t="inlineStr">
        <is>
          <t>مفتوح</t>
        </is>
      </c>
      <c r="I16" s="30" t="n"/>
      <c r="J16" s="42" t="n"/>
    </row>
    <row r="17" ht="42" customHeight="1" s="26">
      <c r="A17" s="41" t="inlineStr">
        <is>
          <t>Q-14</t>
        </is>
      </c>
      <c r="B17" s="31" t="inlineStr">
        <is>
          <t>هل يتلقى المعلم إشعارات (طلب حجز جديد/طلب إعادة جدولة)؟ لا يوجد Teacher/Notifications بـ Swagger</t>
        </is>
      </c>
      <c r="C17" s="31" t="inlineStr">
        <is>
          <t>FR-T10 Trigger: «يستلم إشعارًا جديدًا»</t>
        </is>
      </c>
      <c r="D17" s="31" t="inlineStr">
        <is>
          <t>WP-T5</t>
        </is>
      </c>
      <c r="E17" s="31" t="inlineStr">
        <is>
          <t>عادي</t>
        </is>
      </c>
      <c r="F17" s="31" t="inlineStr">
        <is>
          <t>اعتماد قائمة الطلبات + شارة عدد على لوحة المعلم</t>
        </is>
      </c>
      <c r="G17" s="31" t="inlineStr">
        <is>
          <t>فريق الباك اند</t>
        </is>
      </c>
      <c r="H17" s="30" t="inlineStr">
        <is>
          <t>مفتوح</t>
        </is>
      </c>
      <c r="I17" s="30" t="n"/>
      <c r="J17" s="42" t="n"/>
    </row>
    <row r="18" ht="42" customHeight="1" s="26">
      <c r="A18" s="41" t="inlineStr">
        <is>
          <t>Q-15</t>
        </is>
      </c>
      <c r="B18" s="31" t="inlineStr">
        <is>
          <t>ترتيب أيام الأسبوع في الواجهة: يبدأ بالسبت أم الأحد؟ (DayOfWeek: 0=الأحد)</t>
        </is>
      </c>
      <c r="C18" s="31" t="inlineStr">
        <is>
          <t>اتساق الجداول</t>
        </is>
      </c>
      <c r="D18" s="31" t="inlineStr">
        <is>
          <t>كل WP فيها أيام</t>
        </is>
      </c>
      <c r="E18" s="31" t="inlineStr">
        <is>
          <t>عادي</t>
        </is>
      </c>
      <c r="F18" s="31" t="inlineStr">
        <is>
          <t>السبت أولًا (عُرف المنطقة) مع التخزين الرقمي كما هو</t>
        </is>
      </c>
      <c r="G18" s="31" t="inlineStr">
        <is>
          <t>صاحب المنتج</t>
        </is>
      </c>
      <c r="H18" s="30" t="inlineStr">
        <is>
          <t>مفتوح</t>
        </is>
      </c>
      <c r="I18" s="30" t="n"/>
      <c r="J18" s="42" t="n"/>
    </row>
    <row r="19" ht="42" customHeight="1" s="26">
      <c r="A19" s="41" t="inlineStr">
        <is>
          <t>Q-17</t>
        </is>
      </c>
      <c r="B19" s="31" t="inlineStr">
        <is>
          <t>حسابات اختبار جاهزة: معلم مربوط بصف Teacher، طالب مربوط بملف Student، ولي أمر له ابن، وبيانات حضور/امتحانات</t>
        </is>
      </c>
      <c r="C19" s="31" t="inlineStr">
        <is>
          <t>بدونها لا يمكن تنفيذ UAT/e2e</t>
        </is>
      </c>
      <c r="D19" s="31" t="inlineStr">
        <is>
          <t>WP-QA</t>
        </is>
      </c>
      <c r="E19" s="31" t="inlineStr">
        <is>
          <t>حاجب</t>
        </is>
      </c>
      <c r="F19" s="31" t="inlineStr">
        <is>
          <t>—</t>
        </is>
      </c>
      <c r="G19" s="31" t="inlineStr">
        <is>
          <t>المستخدم/الباك اند</t>
        </is>
      </c>
      <c r="H19" s="30" t="inlineStr">
        <is>
          <t>مفتوح</t>
        </is>
      </c>
      <c r="I19" s="30" t="n"/>
      <c r="J19" s="42" t="n"/>
    </row>
    <row r="20" ht="42" customHeight="1" s="26">
      <c r="A20" s="41" t="inlineStr">
        <is>
          <t>Q-18</t>
        </is>
      </c>
      <c r="B20" s="31" t="inlineStr">
        <is>
          <t>تأكيد تصنيف FR-P08 كـ «جزئي» (ليطابق ملخص التقرير 11 جاهز / 6 جزئي / 13 غير جاهز)</t>
        </is>
      </c>
      <c r="C20" s="31" t="inlineStr">
        <is>
          <t>اتساق النسب</t>
        </is>
      </c>
      <c r="D20" s="31" t="inlineStr">
        <is>
          <t>FR_Matrix</t>
        </is>
      </c>
      <c r="E20" s="31" t="inlineStr">
        <is>
          <t>عادي</t>
        </is>
      </c>
      <c r="F20" s="31" t="inlineStr">
        <is>
          <t>جزئي</t>
        </is>
      </c>
      <c r="G20" s="31" t="inlineStr">
        <is>
          <t>المستخدم</t>
        </is>
      </c>
      <c r="H20" s="30" t="inlineStr">
        <is>
          <t>مفتوح</t>
        </is>
      </c>
      <c r="I20" s="30" t="n"/>
      <c r="J20" s="42" t="n"/>
    </row>
    <row r="21" ht="42" customHeight="1" s="26">
      <c r="A21" s="41" t="inlineStr">
        <is>
          <t>Q-19</t>
        </is>
      </c>
      <c r="B21" s="31" t="inlineStr">
        <is>
          <t>SRS FR-W03a/b يصف خصم رسوم تسجيل عند موافقة المعلم على طلب انضمام؛ لا توجد endpoints انضمام/تسجيل بـ Swagger. هل المقصود مسار الحجز فقط؟</t>
        </is>
      </c>
      <c r="C21" s="31" t="inlineStr">
        <is>
          <t>يحدد نطاق FR-W03a/b على الواجهة</t>
        </is>
      </c>
      <c r="D21" s="31" t="inlineStr">
        <is>
          <t>WP-W1, W2</t>
        </is>
      </c>
      <c r="E21" s="31" t="inlineStr">
        <is>
          <t>مهم</t>
        </is>
      </c>
      <c r="F21" s="31" t="inlineStr">
        <is>
          <t>نكتفي بمسار الحجز + عرض حركات المحفظة</t>
        </is>
      </c>
      <c r="G21" s="31" t="inlineStr">
        <is>
          <t>صاحب المنتج</t>
        </is>
      </c>
      <c r="H21" s="30" t="inlineStr">
        <is>
          <t>مفتوح</t>
        </is>
      </c>
      <c r="I21" s="30" t="n"/>
      <c r="J21" s="42" t="n"/>
    </row>
    <row r="22" ht="42" customHeight="1" s="26">
      <c r="A22" s="41" t="inlineStr">
        <is>
          <t>Q-20</t>
        </is>
      </c>
      <c r="B22" s="31" t="inlineStr">
        <is>
          <t>الحدود الفعلية لحقول الإدخال: مدة الحجز (min/max)، مدة الدرس، أقصى طول لملاحظة الحجز/إعادة الجدولة/مراجعة التقييم/سبب الإلغاء</t>
        </is>
      </c>
      <c r="C22" s="31" t="inlineStr">
        <is>
          <t>الواجهة حاليًا تفترض 30..480 دقيقة حجز، 15..480 درس، 500/500/1000 حرف (R-14)</t>
        </is>
      </c>
      <c r="D22" s="31" t="inlineStr">
        <is>
          <t>WP-S1, S3, S4, T4</t>
        </is>
      </c>
      <c r="E22" s="31" t="inlineStr">
        <is>
          <t>عادي</t>
        </is>
      </c>
      <c r="F22" s="31" t="inlineStr">
        <is>
          <t>نبقى على الافتراض وتُعرض رسالة الباك اند عند الرفض</t>
        </is>
      </c>
      <c r="G22" s="31" t="inlineStr">
        <is>
          <t>فريق الباك اند</t>
        </is>
      </c>
      <c r="H22" s="30" t="inlineStr">
        <is>
          <t>مفتوح</t>
        </is>
      </c>
      <c r="I22" s="30" t="n"/>
      <c r="J22" s="42" t="n"/>
    </row>
    <row r="23" ht="42" customHeight="1" s="26">
      <c r="A23" s="41" t="inlineStr">
        <is>
          <t>Q-21</t>
        </is>
      </c>
      <c r="B23" s="31" t="inlineStr">
        <is>
          <t>هل Booking/Submit يرجّع returnId = رقم الحجز الجديد؟ (للانتقال إلى /booking/{id} بعد الإرسال)</t>
        </is>
      </c>
      <c r="C23" s="31" t="inlineStr">
        <is>
          <t>تصميم S1-05</t>
        </is>
      </c>
      <c r="D23" s="31" t="inlineStr">
        <is>
          <t>WP-S1</t>
        </is>
      </c>
      <c r="E23" s="31" t="inlineStr">
        <is>
          <t>مهم</t>
        </is>
      </c>
      <c r="F23" s="31" t="inlineStr">
        <is>
          <t>نفترض نعم؛ وإلا ننتقل لـ/my-courses</t>
        </is>
      </c>
      <c r="G23" s="31" t="inlineStr">
        <is>
          <t>فريق الباك اند</t>
        </is>
      </c>
      <c r="H23" s="30" t="inlineStr">
        <is>
          <t>مفتوح</t>
        </is>
      </c>
      <c r="I23" s="30" t="n"/>
      <c r="J23" s="42" t="n"/>
    </row>
  </sheetData>
  <conditionalFormatting sqref="E5:E53">
    <cfRule type="cellIs" rank="0" priority="2" equalAverage="0" operator="equal" aboveAverage="0" dxfId="0" text="" percent="0" bottom="0">
      <formula>"حاجب"</formula>
    </cfRule>
  </conditionalFormatting>
  <conditionalFormatting sqref="H5:H53">
    <cfRule type="cellIs" rank="0" priority="3" equalAverage="0" operator="equal" aboveAverage="0" dxfId="1" text="" percent="0" bottom="0">
      <formula>"تمت الإجابة"</formula>
    </cfRule>
  </conditionalFormatting>
  <dataValidations count="2">
    <dataValidation sqref="H5:H53" showDropDown="0" showInputMessage="0" showErrorMessage="1" allowBlank="1" errorTitle="قيمة غير مسموحة" error="اختر من القائمة" type="list" errorStyle="stop" operator="between">
      <formula1>Lists!$E$2:$E$3</formula1>
      <formula2>0</formula2>
    </dataValidation>
    <dataValidation sqref="E5:E53" showDropDown="0" showInputMessage="0" showErrorMessage="1" allowBlank="1" errorTitle="قيمة غير مسموحة" error="اختر من القائمة" type="list" errorStyle="stop" operator="between">
      <formula1>Lists!$F$2:$F$4</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808080"/>
    <outlinePr summaryBelow="1" summaryRight="1"/>
    <pageSetUpPr fitToPage="0"/>
  </sheetPr>
  <dimension ref="A1:E21"/>
  <sheetViews>
    <sheetView showFormulas="0" showGridLines="1" showRowColHeaders="1" showZeros="1" rightToLeft="1"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5" min="1" max="1"/>
    <col width="10" customWidth="1" style="25" min="2" max="2"/>
    <col width="66" customWidth="1" style="25" min="3" max="3"/>
    <col width="34" customWidth="1" style="25" min="4" max="4"/>
    <col width="64" customWidth="1" style="25" min="5" max="5"/>
  </cols>
  <sheetData>
    <row r="1" ht="42" customHeight="1" s="26">
      <c r="A1" s="27" t="inlineStr">
        <is>
          <t>الافتراضات والمخاطر</t>
        </is>
      </c>
      <c r="B1" s="28" t="n"/>
      <c r="C1" s="28" t="n"/>
      <c r="D1" s="28" t="n"/>
      <c r="E1" s="28" t="n"/>
    </row>
    <row r="2" ht="42" customHeight="1" s="26">
      <c r="A2" s="28" t="n"/>
      <c r="B2" s="28" t="n"/>
      <c r="C2" s="28" t="n"/>
      <c r="D2" s="28" t="n"/>
      <c r="E2" s="28" t="n"/>
    </row>
    <row r="3" ht="42" customHeight="1" s="26">
      <c r="A3" s="28" t="n"/>
      <c r="B3" s="28" t="n"/>
      <c r="C3" s="28" t="n"/>
      <c r="D3" s="28" t="n"/>
      <c r="E3" s="28" t="n"/>
    </row>
    <row r="4" ht="42" customHeight="1" s="26">
      <c r="A4" s="40" t="inlineStr">
        <is>
          <t>ID</t>
        </is>
      </c>
      <c r="B4" s="40" t="inlineStr">
        <is>
          <t>النوع</t>
        </is>
      </c>
      <c r="C4" s="40" t="inlineStr">
        <is>
          <t>الوصف</t>
        </is>
      </c>
      <c r="D4" s="40" t="inlineStr">
        <is>
          <t>الأثر</t>
        </is>
      </c>
      <c r="E4" s="40" t="inlineStr">
        <is>
          <t>التخفيف / الإجراء</t>
        </is>
      </c>
    </row>
    <row r="5" ht="42" customHeight="1" s="26">
      <c r="A5" s="41" t="inlineStr">
        <is>
          <t>R-01</t>
        </is>
      </c>
      <c r="B5" s="31" t="inlineStr">
        <is>
          <t>خطر</t>
        </is>
      </c>
      <c r="C5" s="31" t="inlineStr">
        <is>
          <t>بيئة التنفيذ هنا بلا اتصال شبكة: لا npm install ولا تشغيل typecheck/lint/vitest/dev server</t>
        </is>
      </c>
      <c r="D5" s="31" t="inlineStr">
        <is>
          <t>لا يمكن إثبات سلامة الكود تلقائيًا بالجلسة</t>
        </is>
      </c>
      <c r="E5" s="31" t="inlineStr">
        <is>
          <t>كل جلسة كود تنتهي بأمر يشغّله المستخدم محليًا: npm run validate، وتُسجَّل نتيجته بـ SessionLog قبل اعتبار المهمة «مكتملة»</t>
        </is>
      </c>
    </row>
    <row r="6" ht="42" customHeight="1" s="26">
      <c r="A6" s="41" t="inlineStr">
        <is>
          <t>R-02</t>
        </is>
      </c>
      <c r="B6" s="31" t="inlineStr">
        <is>
          <t>خطر</t>
        </is>
      </c>
      <c r="C6" s="31" t="inlineStr">
        <is>
          <t>عدم وجود schema لردود كثيرة (D-15/Q-05)</t>
        </is>
      </c>
      <c r="D6" s="31" t="inlineStr">
        <is>
          <t>أنواع تخمينية قد تنكسر</t>
        </is>
      </c>
      <c r="E6" s="31" t="inlineStr">
        <is>
          <t>أنواع بحقول اختيارية + قراءة دفاعية + استبدالها فور استلام العينات</t>
        </is>
      </c>
    </row>
    <row r="7" ht="42" customHeight="1" s="26">
      <c r="A7" s="41" t="inlineStr">
        <is>
          <t>R-03</t>
        </is>
      </c>
      <c r="B7" s="31" t="inlineStr">
        <is>
          <t>خطر</t>
        </is>
      </c>
      <c r="C7" s="31" t="inlineStr">
        <is>
          <t>تعارض في routeTree.gen.ts عند الدمج المتوازي</t>
        </is>
      </c>
      <c r="D7" s="31" t="inlineStr">
        <is>
          <t>يعطّل البناء</t>
        </is>
      </c>
      <c r="E7" s="31" t="inlineStr">
        <is>
          <t>كل routes تُنشأ كـ stubs في WP-00 فيُولَّد مرة واحدة؛ عند التعارض: احذف وأعد التوليد</t>
        </is>
      </c>
    </row>
    <row r="8" ht="42" customHeight="1" s="26">
      <c r="A8" s="41" t="inlineStr">
        <is>
          <t>R-04</t>
        </is>
      </c>
      <c r="B8" s="31" t="inlineStr">
        <is>
          <t>خطر</t>
        </is>
      </c>
      <c r="C8" s="31" t="inlineStr">
        <is>
          <t>تعديل ملف تعاوني من جلستين</t>
        </is>
      </c>
      <c r="D8" s="31" t="inlineStr">
        <is>
          <t>تعارضات دمج</t>
        </is>
      </c>
      <c r="E8" s="31" t="inlineStr">
        <is>
          <t>FileOwnership + عمود ⚠ مكرر + طلبات التغيير</t>
        </is>
      </c>
    </row>
    <row r="9" ht="42" customHeight="1" s="26">
      <c r="A9" s="41" t="inlineStr">
        <is>
          <t>R-05</t>
        </is>
      </c>
      <c r="B9" s="31" t="inlineStr">
        <is>
          <t>خطر</t>
        </is>
      </c>
      <c r="C9" s="31" t="inlineStr">
        <is>
          <t>تعارض تحديث ملف الإكسل نفسه من جلسات متوازية</t>
        </is>
      </c>
      <c r="D9" s="31" t="inlineStr">
        <is>
          <t>فقدان تحديثات</t>
        </is>
      </c>
      <c r="E9" s="31" t="inlineStr">
        <is>
          <t>كاتب واحد للتتبع (المنسّق). الجلسات ترسل «تقريرًا» بصيغة SessionLog فقط</t>
        </is>
      </c>
    </row>
    <row r="10" ht="42" customHeight="1" s="26">
      <c r="A10" s="41" t="inlineStr">
        <is>
          <t>R-06</t>
        </is>
      </c>
      <c r="B10" s="31" t="inlineStr">
        <is>
          <t>افتراض</t>
        </is>
      </c>
      <c r="C10" s="31" t="inlineStr">
        <is>
          <t>ملفات docs/** و.claude/** المذكورة بـ CLAUDE.md/ATLAS غير موجودة بالـ zip، وهي قديمة بحسب المستخدم</t>
        </is>
      </c>
      <c r="D10" s="31" t="inlineStr">
        <is>
          <t>لا اعتماد عليها</t>
        </is>
      </c>
      <c r="E10" s="31" t="inlineStr">
        <is>
          <t>المصادر المعتمدة: Swagger + SRS + تقرير الجاهزية + هذا الملف</t>
        </is>
      </c>
    </row>
    <row r="11" ht="42" customHeight="1" s="26">
      <c r="A11" s="41" t="inlineStr">
        <is>
          <t>R-07</t>
        </is>
      </c>
      <c r="B11" s="31" t="inlineStr">
        <is>
          <t>افتراض</t>
        </is>
      </c>
      <c r="C11" s="31" t="inlineStr">
        <is>
          <t>«جاهز» بـ API_Map يعني وجود دالة بالكود وليس تجربتها فعليًا على الباك اند الحي</t>
        </is>
      </c>
      <c r="D11" s="31" t="inlineStr">
        <is>
          <t>قد تظهر فروقات وقت التشغيل</t>
        </is>
      </c>
      <c r="E11" s="31" t="inlineStr">
        <is>
          <t>تأكيد بالـ UAT</t>
        </is>
      </c>
    </row>
    <row r="12" ht="42" customHeight="1" s="26">
      <c r="A12" s="41" t="inlineStr">
        <is>
          <t>R-08</t>
        </is>
      </c>
      <c r="B12" s="31" t="inlineStr">
        <is>
          <t>خطر</t>
        </is>
      </c>
      <c r="C12" s="31" t="inlineStr">
        <is>
          <t>القائمة الجانبية تحدد الوحدة النشطة بـ startsWith على مسارات PAGES</t>
        </is>
      </c>
      <c r="D12" s="31" t="inlineStr">
        <is>
          <t>صفحات التفاصيل لا تفتح مجموعتها</t>
        </is>
      </c>
      <c r="E12" s="31" t="inlineStr">
        <is>
          <t>مهمة اختيارية 00-19</t>
        </is>
      </c>
    </row>
    <row r="13" ht="42" customHeight="1" s="26">
      <c r="A13" s="41" t="inlineStr">
        <is>
          <t>R-09</t>
        </is>
      </c>
      <c r="B13" s="31" t="inlineStr">
        <is>
          <t>خطر</t>
        </is>
      </c>
      <c r="C13" s="31" t="inlineStr">
        <is>
          <t>روابط الاجتماع قد تُحقن بـ javascript:</t>
        </is>
      </c>
      <c r="D13" s="31" t="inlineStr">
        <is>
          <t>ثغرة XSS</t>
        </is>
      </c>
      <c r="E13" s="31" t="inlineStr">
        <is>
          <t>isHttpUrl إلزامي بكل عرض/إدخال رابط (T4, S5) + مراجعة QA-09</t>
        </is>
      </c>
    </row>
    <row r="14" ht="42" customHeight="1" s="26">
      <c r="A14" s="41" t="inlineStr">
        <is>
          <t>R-10</t>
        </is>
      </c>
      <c r="B14" s="31" t="inlineStr">
        <is>
          <t>افتراض</t>
        </is>
      </c>
      <c r="C14" s="31" t="inlineStr">
        <is>
          <t>القاعدة الحاكمة بـ CLAUDE.md (Truth Rule): لا تُظهر الواجهة نشاطًا غير حقيقي</t>
        </is>
      </c>
      <c r="D14" s="31" t="inlineStr">
        <is>
          <t>يؤثر على W2/P1</t>
        </is>
      </c>
      <c r="E14" s="31" t="inlineStr">
        <is>
          <t>حالات فراغ صادقة ولا أرقام مخترعة</t>
        </is>
      </c>
    </row>
    <row r="15" ht="42" customHeight="1" s="26">
      <c r="A15" s="41" t="inlineStr">
        <is>
          <t>R-11</t>
        </is>
      </c>
      <c r="B15" s="31" t="inlineStr">
        <is>
          <t>افتراض</t>
        </is>
      </c>
      <c r="C15" s="31" t="inlineStr">
        <is>
          <t>التطبيق يستخدم TanStack Start (file-based routing) ومكوّنات shadcn/radix بدون Tabs وبدون date-picker</t>
        </is>
      </c>
      <c r="D15" s="31" t="inlineStr">
        <is>
          <t>تصميم الواجهات</t>
        </is>
      </c>
      <c r="E15" s="31" t="inlineStr">
        <is>
          <t>SegmentedTabs جديد + input type=date/time الأصلي</t>
        </is>
      </c>
    </row>
    <row r="16" ht="42" customHeight="1" s="26">
      <c r="A16" s="41" t="inlineStr">
        <is>
          <t>R-13</t>
        </is>
      </c>
      <c r="B16" s="31" t="inlineStr">
        <is>
          <t>خطر</t>
        </is>
      </c>
      <c r="C16" s="31" t="inlineStr">
        <is>
          <t>وضع ملف اختبار داخل src/routes يجعل TanStack Router يعتبره route</t>
        </is>
      </c>
      <c r="D16" s="31" t="inlineStr">
        <is>
          <t>يكسر البناء/يولّد route وهمي</t>
        </is>
      </c>
      <c r="E16" s="31" t="inlineStr">
        <is>
          <t>اختبارات الصفحات في src/test-units/ (vitest يلتقطها عبر src/**/*.test.ts)</t>
        </is>
      </c>
    </row>
    <row r="17" ht="42" customHeight="1" s="26">
      <c r="A17" s="41" t="inlineStr">
        <is>
          <t>R-12</t>
        </is>
      </c>
      <c r="B17" s="31" t="inlineStr">
        <is>
          <t>خطر</t>
        </is>
      </c>
      <c r="C17" s="31" t="inlineStr">
        <is>
          <t>ملف تنسيق prettier/eslint صارم (validate)</t>
        </is>
      </c>
      <c r="D17" s="31" t="inlineStr">
        <is>
          <t>فشل CI</t>
        </is>
      </c>
      <c r="E17" s="31" t="inlineStr">
        <is>
          <t>تشغيل npm run format قبل الـ PR</t>
        </is>
      </c>
    </row>
    <row r="18" ht="42" customHeight="1" s="26">
      <c r="A18" s="41" t="inlineStr">
        <is>
          <t>R-14</t>
        </is>
      </c>
      <c r="B18" s="31" t="inlineStr">
        <is>
          <t>افتراض</t>
        </is>
      </c>
      <c r="C18" s="31" t="inlineStr">
        <is>
          <t>حدود واجهية افتراضية غير موثّقة بالباك اند: مدة الحجز 30..480 دقيقة (مثال Swagger)، مدة الدرس 15..480 (T4)، ملاحظة الحجز/إعادة الجدولة 500 حرف، مراجعة التقييم 1000</t>
        </is>
      </c>
      <c r="D18" s="31" t="inlineStr">
        <is>
          <t>رفض من الباك اند بحدود مختلفة</t>
        </is>
      </c>
      <c r="E18" s="31" t="inlineStr">
        <is>
          <t>الباك اند مرجع نهائي وتُعرض رسالته؛ تأكيد الحدود بـQ جديد عند أول رفض</t>
        </is>
      </c>
    </row>
    <row r="19" ht="42" customHeight="1" s="26">
      <c r="A19" s="41" t="inlineStr">
        <is>
          <t>R-15</t>
        </is>
      </c>
      <c r="B19" s="31" t="inlineStr">
        <is>
          <t>خطر</t>
        </is>
      </c>
      <c r="C19" s="31" t="inlineStr">
        <is>
          <t>BOOKING_FLOW_ENABLED=false بـlib/booking-slots.ts: شاشة /book/$teacherId تعرض الأوقات والسعر لكن الإرسال مغلق عمدًا حتى S1-03 (Q-04) وS1-05</t>
        </is>
      </c>
      <c r="D19" s="31" t="inlineStr">
        <is>
          <t>لا يوجد حجز فعلي بعد</t>
        </is>
      </c>
      <c r="E19" s="31" t="inlineStr">
        <is>
          <t>عدم قلب العلم قبل ربط المادة/الصف وإرسال Booking/Submit</t>
        </is>
      </c>
    </row>
    <row r="20" ht="42" customHeight="1" s="26">
      <c r="A20" s="41" t="inlineStr">
        <is>
          <t>R-16</t>
        </is>
      </c>
      <c r="B20" s="31" t="inlineStr">
        <is>
          <t>خطر</t>
        </is>
      </c>
      <c r="C20" s="31" t="inlineStr">
        <is>
          <t>اختبارات تستورد client.ts/wallet.ts (parent.report وteacher.earnings) لم تُشغَّل بأداة Claude (تعتمد import.meta.env الخاص بـVite)</t>
        </is>
      </c>
      <c r="D20" s="31" t="inlineStr">
        <is>
          <t>فجوة تحقق</t>
        </is>
      </c>
      <c r="E20" s="31" t="inlineStr">
        <is>
          <t>تشغيلها بـvitest الحقيقي ضمن npm run validate</t>
        </is>
      </c>
    </row>
    <row r="21" ht="42" customHeight="1" s="26">
      <c r="A21" s="41" t="inlineStr">
        <is>
          <t>R-17</t>
        </is>
      </c>
      <c r="B21" s="31" t="inlineStr">
        <is>
          <t>خطر</t>
        </is>
      </c>
      <c r="C21" s="31" t="inlineStr">
        <is>
          <t>فحص Claude = tsc مع stubs للمكتبات الخارجية + تشغيل اختبارات النقي (102 فحصًا نجح): تقريبي لا يغني عن validate/lint/prettier</t>
        </is>
      </c>
      <c r="D21" s="31" t="inlineStr">
        <is>
          <t>أخطاء أنواع/تنسيق قد تظهر محليًا</t>
        </is>
      </c>
      <c r="E21" s="31" t="inlineStr">
        <is>
          <t>npm run format &amp;&amp; npm run validate قبل اعتماد أي مهمة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ED7D31"/>
    <outlinePr summaryBelow="1" summaryRight="1"/>
    <pageSetUpPr fitToPage="0"/>
  </sheetPr>
  <dimension ref="A1:I40"/>
  <sheetViews>
    <sheetView showFormulas="0" showGridLines="1" showRowColHeaders="1" showZeros="1" rightToLeft="1"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5" min="1" max="1"/>
    <col width="12" customWidth="1" style="25" min="2" max="3"/>
    <col width="38" customWidth="1" style="25" min="4" max="4"/>
    <col width="48" customWidth="1" style="25" min="5" max="5"/>
    <col width="40" customWidth="1" style="25" min="6" max="6"/>
    <col width="13" customWidth="1" style="25" min="7" max="7"/>
    <col width="16" customWidth="1" style="25" min="8" max="8"/>
    <col width="28" customWidth="1" style="25" min="9" max="9"/>
  </cols>
  <sheetData>
    <row r="1" ht="42" customHeight="1" s="26">
      <c r="A1" s="27" t="inlineStr">
        <is>
          <t>طلبات التغيير على الملفات/العقود المشتركة (CR)</t>
        </is>
      </c>
      <c r="B1" s="28" t="n"/>
      <c r="C1" s="28" t="n"/>
      <c r="D1" s="28" t="n"/>
      <c r="E1" s="28" t="n"/>
      <c r="F1" s="28" t="n"/>
      <c r="G1" s="28" t="n"/>
      <c r="H1" s="28" t="n"/>
      <c r="I1" s="28" t="n"/>
    </row>
    <row r="2" ht="42" customHeight="1" s="26">
      <c r="A2" s="32" t="inlineStr">
        <is>
          <t>إذا احتاج WP تعديل ملف لا يملكه أو تغيير توقيع في Contracts: يضيف صفًا هنا ولا يعدّل الملف. المنسّق يقرر. الصف الأول مثال توضيحي (حالته «مثال» ولا يُحسب).</t>
        </is>
      </c>
      <c r="B2" s="28" t="n"/>
      <c r="C2" s="28" t="n"/>
      <c r="D2" s="28" t="n"/>
      <c r="E2" s="28" t="n"/>
      <c r="F2" s="28" t="n"/>
      <c r="G2" s="28" t="n"/>
      <c r="H2" s="28" t="n"/>
      <c r="I2" s="28" t="n"/>
    </row>
    <row r="3" ht="42" customHeight="1" s="26">
      <c r="A3" s="28" t="n"/>
      <c r="B3" s="28" t="n"/>
      <c r="C3" s="28" t="n"/>
      <c r="D3" s="28" t="n"/>
      <c r="E3" s="28" t="n"/>
      <c r="F3" s="28" t="n"/>
      <c r="G3" s="28" t="n"/>
      <c r="H3" s="28" t="n"/>
      <c r="I3" s="28" t="n"/>
    </row>
    <row r="4" ht="42" customHeight="1" s="26">
      <c r="A4" s="40" t="inlineStr">
        <is>
          <t>CR</t>
        </is>
      </c>
      <c r="B4" s="40" t="inlineStr">
        <is>
          <t>التاريخ</t>
        </is>
      </c>
      <c r="C4" s="40" t="inlineStr">
        <is>
          <t>WP الطالب</t>
        </is>
      </c>
      <c r="D4" s="40" t="inlineStr">
        <is>
          <t>الملف / العقد</t>
        </is>
      </c>
      <c r="E4" s="40" t="inlineStr">
        <is>
          <t>التغيير المطلوب</t>
        </is>
      </c>
      <c r="F4" s="40" t="inlineStr">
        <is>
          <t>السبب</t>
        </is>
      </c>
      <c r="G4" s="40" t="inlineStr">
        <is>
          <t>الحالة</t>
        </is>
      </c>
      <c r="H4" s="40" t="inlineStr">
        <is>
          <t>قرار/تاريخ</t>
        </is>
      </c>
      <c r="I4" s="40" t="inlineStr">
        <is>
          <t>ملاحظات</t>
        </is>
      </c>
    </row>
    <row r="5" ht="42" customHeight="1" s="26">
      <c r="A5" s="31" t="inlineStr">
        <is>
          <t>CR-000</t>
        </is>
      </c>
      <c r="B5" s="31" t="inlineStr">
        <is>
          <t>2026-10-01</t>
        </is>
      </c>
      <c r="C5" s="31" t="inlineStr">
        <is>
          <t>WP-W2 (مثال)</t>
        </is>
      </c>
      <c r="D5" s="31" t="inlineStr">
        <is>
          <t>components/wallet/wallet-balance-panel.tsx</t>
        </is>
      </c>
      <c r="E5" s="31" t="inlineStr">
        <is>
          <t>إضافة prop اختيارية highlightTypes?: number[]</t>
        </is>
      </c>
      <c r="F5" s="31" t="inlineStr">
        <is>
          <t>لإبراز حركات الأرباح بلا تكرار الكود</t>
        </is>
      </c>
      <c r="G5" s="30" t="inlineStr">
        <is>
          <t>مثال</t>
        </is>
      </c>
      <c r="H5" s="31" t="inlineStr">
        <is>
          <t>—</t>
        </is>
      </c>
      <c r="I5" s="31" t="inlineStr">
        <is>
          <t>احذف هذا الصف عند أول CR حقيقي</t>
        </is>
      </c>
    </row>
    <row r="6" ht="42" customHeight="1" s="26">
      <c r="A6" s="31" t="inlineStr">
        <is>
          <t>CR-001</t>
        </is>
      </c>
      <c r="B6" s="42" t="n"/>
      <c r="C6" s="30" t="n"/>
      <c r="D6" s="30" t="n"/>
      <c r="E6" s="30" t="n"/>
      <c r="F6" s="30" t="n"/>
      <c r="G6" s="30" t="n"/>
      <c r="H6" s="30" t="n"/>
      <c r="I6" s="30" t="n"/>
    </row>
    <row r="7" ht="42" customHeight="1" s="26">
      <c r="A7" s="31" t="inlineStr">
        <is>
          <t>CR-002</t>
        </is>
      </c>
      <c r="B7" s="42" t="n"/>
      <c r="C7" s="30" t="n"/>
      <c r="D7" s="30" t="n"/>
      <c r="E7" s="30" t="n"/>
      <c r="F7" s="30" t="n"/>
      <c r="G7" s="30" t="n"/>
      <c r="H7" s="30" t="n"/>
      <c r="I7" s="30" t="n"/>
    </row>
    <row r="8" ht="42" customHeight="1" s="26">
      <c r="A8" s="31" t="inlineStr">
        <is>
          <t>CR-003</t>
        </is>
      </c>
      <c r="B8" s="42" t="n"/>
      <c r="C8" s="30" t="n"/>
      <c r="D8" s="30" t="n"/>
      <c r="E8" s="30" t="n"/>
      <c r="F8" s="30" t="n"/>
      <c r="G8" s="30" t="n"/>
      <c r="H8" s="30" t="n"/>
      <c r="I8" s="30" t="n"/>
    </row>
    <row r="9" ht="42" customHeight="1" s="26">
      <c r="A9" s="31" t="inlineStr">
        <is>
          <t>CR-004</t>
        </is>
      </c>
      <c r="B9" s="42" t="n"/>
      <c r="C9" s="30" t="n"/>
      <c r="D9" s="30" t="n"/>
      <c r="E9" s="30" t="n"/>
      <c r="F9" s="30" t="n"/>
      <c r="G9" s="30" t="n"/>
      <c r="H9" s="30" t="n"/>
      <c r="I9" s="30" t="n"/>
    </row>
    <row r="10" ht="42" customHeight="1" s="26">
      <c r="A10" s="31" t="inlineStr">
        <is>
          <t>CR-005</t>
        </is>
      </c>
      <c r="B10" s="42" t="n"/>
      <c r="C10" s="30" t="n"/>
      <c r="D10" s="30" t="n"/>
      <c r="E10" s="30" t="n"/>
      <c r="F10" s="30" t="n"/>
      <c r="G10" s="30" t="n"/>
      <c r="H10" s="30" t="n"/>
      <c r="I10" s="30" t="n"/>
    </row>
    <row r="11" ht="42" customHeight="1" s="26">
      <c r="A11" s="31" t="inlineStr">
        <is>
          <t>CR-006</t>
        </is>
      </c>
      <c r="B11" s="42" t="n"/>
      <c r="C11" s="30" t="n"/>
      <c r="D11" s="30" t="n"/>
      <c r="E11" s="30" t="n"/>
      <c r="F11" s="30" t="n"/>
      <c r="G11" s="30" t="n"/>
      <c r="H11" s="30" t="n"/>
      <c r="I11" s="30" t="n"/>
    </row>
    <row r="12" ht="42" customHeight="1" s="26">
      <c r="A12" s="31" t="inlineStr">
        <is>
          <t>CR-007</t>
        </is>
      </c>
      <c r="B12" s="42" t="n"/>
      <c r="C12" s="30" t="n"/>
      <c r="D12" s="30" t="n"/>
      <c r="E12" s="30" t="n"/>
      <c r="F12" s="30" t="n"/>
      <c r="G12" s="30" t="n"/>
      <c r="H12" s="30" t="n"/>
      <c r="I12" s="30" t="n"/>
    </row>
    <row r="13" ht="42" customHeight="1" s="26">
      <c r="A13" s="31" t="inlineStr">
        <is>
          <t>CR-008</t>
        </is>
      </c>
      <c r="B13" s="42" t="n"/>
      <c r="C13" s="30" t="n"/>
      <c r="D13" s="30" t="n"/>
      <c r="E13" s="30" t="n"/>
      <c r="F13" s="30" t="n"/>
      <c r="G13" s="30" t="n"/>
      <c r="H13" s="30" t="n"/>
      <c r="I13" s="30" t="n"/>
    </row>
    <row r="14" ht="42" customHeight="1" s="26">
      <c r="A14" s="31" t="inlineStr">
        <is>
          <t>CR-009</t>
        </is>
      </c>
      <c r="B14" s="42" t="n"/>
      <c r="C14" s="30" t="n"/>
      <c r="D14" s="30" t="n"/>
      <c r="E14" s="30" t="n"/>
      <c r="F14" s="30" t="n"/>
      <c r="G14" s="30" t="n"/>
      <c r="H14" s="30" t="n"/>
      <c r="I14" s="30" t="n"/>
    </row>
    <row r="15" ht="42" customHeight="1" s="26">
      <c r="A15" s="31" t="inlineStr">
        <is>
          <t>CR-010</t>
        </is>
      </c>
      <c r="B15" s="42" t="n"/>
      <c r="C15" s="30" t="n"/>
      <c r="D15" s="30" t="n"/>
      <c r="E15" s="30" t="n"/>
      <c r="F15" s="30" t="n"/>
      <c r="G15" s="30" t="n"/>
      <c r="H15" s="30" t="n"/>
      <c r="I15" s="30" t="n"/>
    </row>
    <row r="16" ht="42" customHeight="1" s="26">
      <c r="A16" s="31" t="inlineStr">
        <is>
          <t>CR-011</t>
        </is>
      </c>
      <c r="B16" s="42" t="n"/>
      <c r="C16" s="30" t="n"/>
      <c r="D16" s="30" t="n"/>
      <c r="E16" s="30" t="n"/>
      <c r="F16" s="30" t="n"/>
      <c r="G16" s="30" t="n"/>
      <c r="H16" s="30" t="n"/>
      <c r="I16" s="30" t="n"/>
    </row>
    <row r="17" ht="42" customHeight="1" s="26">
      <c r="A17" s="31" t="inlineStr">
        <is>
          <t>CR-012</t>
        </is>
      </c>
      <c r="B17" s="42" t="n"/>
      <c r="C17" s="30" t="n"/>
      <c r="D17" s="30" t="n"/>
      <c r="E17" s="30" t="n"/>
      <c r="F17" s="30" t="n"/>
      <c r="G17" s="30" t="n"/>
      <c r="H17" s="30" t="n"/>
      <c r="I17" s="30" t="n"/>
    </row>
    <row r="18" ht="42" customHeight="1" s="26">
      <c r="A18" s="31" t="inlineStr">
        <is>
          <t>CR-013</t>
        </is>
      </c>
      <c r="B18" s="42" t="n"/>
      <c r="C18" s="30" t="n"/>
      <c r="D18" s="30" t="n"/>
      <c r="E18" s="30" t="n"/>
      <c r="F18" s="30" t="n"/>
      <c r="G18" s="30" t="n"/>
      <c r="H18" s="30" t="n"/>
      <c r="I18" s="30" t="n"/>
    </row>
    <row r="19" ht="42" customHeight="1" s="26">
      <c r="A19" s="31" t="inlineStr">
        <is>
          <t>CR-014</t>
        </is>
      </c>
      <c r="B19" s="42" t="n"/>
      <c r="C19" s="30" t="n"/>
      <c r="D19" s="30" t="n"/>
      <c r="E19" s="30" t="n"/>
      <c r="F19" s="30" t="n"/>
      <c r="G19" s="30" t="n"/>
      <c r="H19" s="30" t="n"/>
      <c r="I19" s="30" t="n"/>
    </row>
    <row r="20" ht="42" customHeight="1" s="26">
      <c r="A20" s="31" t="inlineStr">
        <is>
          <t>CR-015</t>
        </is>
      </c>
      <c r="B20" s="42" t="n"/>
      <c r="C20" s="30" t="n"/>
      <c r="D20" s="30" t="n"/>
      <c r="E20" s="30" t="n"/>
      <c r="F20" s="30" t="n"/>
      <c r="G20" s="30" t="n"/>
      <c r="H20" s="30" t="n"/>
      <c r="I20" s="30" t="n"/>
    </row>
    <row r="21" ht="42" customHeight="1" s="26">
      <c r="A21" s="31" t="inlineStr">
        <is>
          <t>CR-016</t>
        </is>
      </c>
      <c r="B21" s="42" t="n"/>
      <c r="C21" s="30" t="n"/>
      <c r="D21" s="30" t="n"/>
      <c r="E21" s="30" t="n"/>
      <c r="F21" s="30" t="n"/>
      <c r="G21" s="30" t="n"/>
      <c r="H21" s="30" t="n"/>
      <c r="I21" s="30" t="n"/>
    </row>
    <row r="22" ht="42" customHeight="1" s="26">
      <c r="A22" s="31" t="inlineStr">
        <is>
          <t>CR-017</t>
        </is>
      </c>
      <c r="B22" s="42" t="n"/>
      <c r="C22" s="30" t="n"/>
      <c r="D22" s="30" t="n"/>
      <c r="E22" s="30" t="n"/>
      <c r="F22" s="30" t="n"/>
      <c r="G22" s="30" t="n"/>
      <c r="H22" s="30" t="n"/>
      <c r="I22" s="30" t="n"/>
    </row>
    <row r="23" ht="42" customHeight="1" s="26">
      <c r="A23" s="31" t="inlineStr">
        <is>
          <t>CR-018</t>
        </is>
      </c>
      <c r="B23" s="42" t="n"/>
      <c r="C23" s="30" t="n"/>
      <c r="D23" s="30" t="n"/>
      <c r="E23" s="30" t="n"/>
      <c r="F23" s="30" t="n"/>
      <c r="G23" s="30" t="n"/>
      <c r="H23" s="30" t="n"/>
      <c r="I23" s="30" t="n"/>
    </row>
    <row r="24" ht="42" customHeight="1" s="26">
      <c r="A24" s="31" t="inlineStr">
        <is>
          <t>CR-019</t>
        </is>
      </c>
      <c r="B24" s="42" t="n"/>
      <c r="C24" s="30" t="n"/>
      <c r="D24" s="30" t="n"/>
      <c r="E24" s="30" t="n"/>
      <c r="F24" s="30" t="n"/>
      <c r="G24" s="30" t="n"/>
      <c r="H24" s="30" t="n"/>
      <c r="I24" s="30" t="n"/>
    </row>
    <row r="25" ht="42" customHeight="1" s="26">
      <c r="A25" s="31" t="inlineStr">
        <is>
          <t>CR-020</t>
        </is>
      </c>
      <c r="B25" s="42" t="n"/>
      <c r="C25" s="30" t="n"/>
      <c r="D25" s="30" t="n"/>
      <c r="E25" s="30" t="n"/>
      <c r="F25" s="30" t="n"/>
      <c r="G25" s="30" t="n"/>
      <c r="H25" s="30" t="n"/>
      <c r="I25" s="30" t="n"/>
    </row>
    <row r="26" ht="42" customHeight="1" s="26">
      <c r="A26" s="31" t="inlineStr">
        <is>
          <t>CR-021</t>
        </is>
      </c>
      <c r="B26" s="42" t="n"/>
      <c r="C26" s="30" t="n"/>
      <c r="D26" s="30" t="n"/>
      <c r="E26" s="30" t="n"/>
      <c r="F26" s="30" t="n"/>
      <c r="G26" s="30" t="n"/>
      <c r="H26" s="30" t="n"/>
      <c r="I26" s="30" t="n"/>
    </row>
    <row r="27" ht="42" customHeight="1" s="26">
      <c r="A27" s="31" t="inlineStr">
        <is>
          <t>CR-022</t>
        </is>
      </c>
      <c r="B27" s="42" t="n"/>
      <c r="C27" s="30" t="n"/>
      <c r="D27" s="30" t="n"/>
      <c r="E27" s="30" t="n"/>
      <c r="F27" s="30" t="n"/>
      <c r="G27" s="30" t="n"/>
      <c r="H27" s="30" t="n"/>
      <c r="I27" s="30" t="n"/>
    </row>
    <row r="28" ht="42" customHeight="1" s="26">
      <c r="A28" s="31" t="inlineStr">
        <is>
          <t>CR-023</t>
        </is>
      </c>
      <c r="B28" s="42" t="n"/>
      <c r="C28" s="30" t="n"/>
      <c r="D28" s="30" t="n"/>
      <c r="E28" s="30" t="n"/>
      <c r="F28" s="30" t="n"/>
      <c r="G28" s="30" t="n"/>
      <c r="H28" s="30" t="n"/>
      <c r="I28" s="30" t="n"/>
    </row>
    <row r="29" ht="42" customHeight="1" s="26">
      <c r="A29" s="31" t="inlineStr">
        <is>
          <t>CR-024</t>
        </is>
      </c>
      <c r="B29" s="42" t="n"/>
      <c r="C29" s="30" t="n"/>
      <c r="D29" s="30" t="n"/>
      <c r="E29" s="30" t="n"/>
      <c r="F29" s="30" t="n"/>
      <c r="G29" s="30" t="n"/>
      <c r="H29" s="30" t="n"/>
      <c r="I29" s="30" t="n"/>
    </row>
    <row r="30" ht="42" customHeight="1" s="26">
      <c r="A30" s="31" t="inlineStr">
        <is>
          <t>CR-025</t>
        </is>
      </c>
      <c r="B30" s="42" t="n"/>
      <c r="C30" s="30" t="n"/>
      <c r="D30" s="30" t="n"/>
      <c r="E30" s="30" t="n"/>
      <c r="F30" s="30" t="n"/>
      <c r="G30" s="30" t="n"/>
      <c r="H30" s="30" t="n"/>
      <c r="I30" s="30" t="n"/>
    </row>
    <row r="31" ht="42" customHeight="1" s="26">
      <c r="A31" s="31" t="inlineStr">
        <is>
          <t>CR-026</t>
        </is>
      </c>
      <c r="B31" s="42" t="n"/>
      <c r="C31" s="30" t="n"/>
      <c r="D31" s="30" t="n"/>
      <c r="E31" s="30" t="n"/>
      <c r="F31" s="30" t="n"/>
      <c r="G31" s="30" t="n"/>
      <c r="H31" s="30" t="n"/>
      <c r="I31" s="30" t="n"/>
    </row>
    <row r="32" ht="42" customHeight="1" s="26">
      <c r="A32" s="31" t="inlineStr">
        <is>
          <t>CR-027</t>
        </is>
      </c>
      <c r="B32" s="42" t="n"/>
      <c r="C32" s="30" t="n"/>
      <c r="D32" s="30" t="n"/>
      <c r="E32" s="30" t="n"/>
      <c r="F32" s="30" t="n"/>
      <c r="G32" s="30" t="n"/>
      <c r="H32" s="30" t="n"/>
      <c r="I32" s="30" t="n"/>
    </row>
    <row r="33" ht="42" customHeight="1" s="26">
      <c r="A33" s="31" t="inlineStr">
        <is>
          <t>CR-028</t>
        </is>
      </c>
      <c r="B33" s="42" t="n"/>
      <c r="C33" s="30" t="n"/>
      <c r="D33" s="30" t="n"/>
      <c r="E33" s="30" t="n"/>
      <c r="F33" s="30" t="n"/>
      <c r="G33" s="30" t="n"/>
      <c r="H33" s="30" t="n"/>
      <c r="I33" s="30" t="n"/>
    </row>
    <row r="34" ht="42" customHeight="1" s="26">
      <c r="A34" s="31" t="inlineStr">
        <is>
          <t>CR-029</t>
        </is>
      </c>
      <c r="B34" s="42" t="n"/>
      <c r="C34" s="30" t="n"/>
      <c r="D34" s="30" t="n"/>
      <c r="E34" s="30" t="n"/>
      <c r="F34" s="30" t="n"/>
      <c r="G34" s="30" t="n"/>
      <c r="H34" s="30" t="n"/>
      <c r="I34" s="30" t="n"/>
    </row>
    <row r="35" ht="42" customHeight="1" s="26">
      <c r="A35" s="31" t="inlineStr">
        <is>
          <t>CR-030</t>
        </is>
      </c>
      <c r="B35" s="42" t="n"/>
      <c r="C35" s="30" t="n"/>
      <c r="D35" s="30" t="n"/>
      <c r="E35" s="30" t="n"/>
      <c r="F35" s="30" t="n"/>
      <c r="G35" s="30" t="n"/>
      <c r="H35" s="30" t="n"/>
      <c r="I35" s="30" t="n"/>
    </row>
    <row r="36" ht="42" customHeight="1" s="26">
      <c r="A36" s="31" t="inlineStr">
        <is>
          <t>CR-031</t>
        </is>
      </c>
      <c r="B36" s="42" t="n"/>
      <c r="C36" s="30" t="n"/>
      <c r="D36" s="30" t="n"/>
      <c r="E36" s="30" t="n"/>
      <c r="F36" s="30" t="n"/>
      <c r="G36" s="30" t="n"/>
      <c r="H36" s="30" t="n"/>
      <c r="I36" s="30" t="n"/>
    </row>
    <row r="37" ht="42" customHeight="1" s="26">
      <c r="A37" s="31" t="inlineStr">
        <is>
          <t>CR-032</t>
        </is>
      </c>
      <c r="B37" s="42" t="n"/>
      <c r="C37" s="30" t="n"/>
      <c r="D37" s="30" t="n"/>
      <c r="E37" s="30" t="n"/>
      <c r="F37" s="30" t="n"/>
      <c r="G37" s="30" t="n"/>
      <c r="H37" s="30" t="n"/>
      <c r="I37" s="30" t="n"/>
    </row>
    <row r="38" ht="42" customHeight="1" s="26">
      <c r="A38" s="31" t="inlineStr">
        <is>
          <t>CR-033</t>
        </is>
      </c>
      <c r="B38" s="42" t="n"/>
      <c r="C38" s="30" t="n"/>
      <c r="D38" s="30" t="n"/>
      <c r="E38" s="30" t="n"/>
      <c r="F38" s="30" t="n"/>
      <c r="G38" s="30" t="n"/>
      <c r="H38" s="30" t="n"/>
      <c r="I38" s="30" t="n"/>
    </row>
    <row r="39" ht="42" customHeight="1" s="26">
      <c r="A39" s="31" t="inlineStr">
        <is>
          <t>CR-034</t>
        </is>
      </c>
      <c r="B39" s="42" t="n"/>
      <c r="C39" s="30" t="n"/>
      <c r="D39" s="30" t="n"/>
      <c r="E39" s="30" t="n"/>
      <c r="F39" s="30" t="n"/>
      <c r="G39" s="30" t="n"/>
      <c r="H39" s="30" t="n"/>
      <c r="I39" s="30" t="n"/>
    </row>
    <row r="40" ht="42" customHeight="1" s="26">
      <c r="A40" s="31" t="inlineStr">
        <is>
          <t>CR-035</t>
        </is>
      </c>
      <c r="B40" s="42" t="n"/>
      <c r="C40" s="30" t="n"/>
      <c r="D40" s="30" t="n"/>
      <c r="E40" s="30" t="n"/>
      <c r="F40" s="30" t="n"/>
      <c r="G40" s="30" t="n"/>
      <c r="H40" s="30" t="n"/>
      <c r="I40" s="30" t="n"/>
    </row>
  </sheetData>
  <dataValidations count="2">
    <dataValidation sqref="G6:G40" showDropDown="0" showInputMessage="0" showErrorMessage="1" allowBlank="1" errorTitle="قيمة غير مسموحة" error="اختر من القائمة" type="list" errorStyle="stop" operator="between">
      <formula1>Lists!$I$2:$I$5</formula1>
      <formula2>0</formula2>
    </dataValidation>
    <dataValidation sqref="C6:C40" showDropDown="0" showInputMessage="0" showErrorMessage="1" allowBlank="1" errorTitle="قيمة غير مسموحة" error="اختر من القائمة" type="list" errorStyle="stop" operator="between">
      <formula1>Lists!$J$2:$J$21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548235"/>
    <outlinePr summaryBelow="1" summaryRight="1"/>
    <pageSetUpPr fitToPage="0"/>
  </sheetPr>
  <dimension ref="A1:M59"/>
  <sheetViews>
    <sheetView showFormulas="0" showGridLines="1" showRowColHeaders="1" showZeros="1" rightToLeft="1"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5" min="1" max="1"/>
    <col width="12" customWidth="1" style="25" min="2" max="3"/>
    <col width="10" customWidth="1" style="25" min="4" max="4"/>
    <col width="14" customWidth="1" style="25" min="5" max="5"/>
    <col width="46" customWidth="1" style="25" min="6" max="6"/>
    <col width="32" customWidth="1" style="25" min="7" max="7"/>
    <col width="36" customWidth="1" style="25" min="8" max="8"/>
    <col width="18" customWidth="1" style="25" min="9" max="9"/>
    <col width="30" customWidth="1" style="25" min="10" max="10"/>
    <col width="12" customWidth="1" style="25" min="11" max="11"/>
    <col width="36" customWidth="1" style="25" min="12" max="12"/>
    <col width="12" customWidth="1" style="25" min="13" max="13"/>
  </cols>
  <sheetData>
    <row r="1" ht="42" customHeight="1" s="26">
      <c r="A1" s="27" t="inlineStr">
        <is>
          <t>سجل الجلسات (Append-only)</t>
        </is>
      </c>
      <c r="B1" s="28" t="n"/>
      <c r="C1" s="28" t="n"/>
      <c r="D1" s="28" t="n"/>
      <c r="E1" s="28" t="n"/>
      <c r="F1" s="28" t="n"/>
      <c r="G1" s="28" t="n"/>
      <c r="H1" s="28" t="n"/>
      <c r="I1" s="28" t="n"/>
      <c r="J1" s="28" t="n"/>
      <c r="K1" s="28" t="n"/>
      <c r="L1" s="28" t="n"/>
      <c r="M1" s="28" t="n"/>
    </row>
    <row r="2" ht="42" customHeight="1" s="26">
      <c r="A2" s="32" t="inlineStr">
        <is>
          <t>لا تحذف صفوفًا قديمة. كل تقرير جلسة يُضاف كصف جديد بالصيغة الموحّدة (انظر README).</t>
        </is>
      </c>
      <c r="B2" s="28" t="n"/>
      <c r="C2" s="28" t="n"/>
      <c r="D2" s="28" t="n"/>
      <c r="E2" s="28" t="n"/>
      <c r="F2" s="28" t="n"/>
      <c r="G2" s="28" t="n"/>
      <c r="H2" s="28" t="n"/>
      <c r="I2" s="28" t="n"/>
      <c r="J2" s="28" t="n"/>
      <c r="K2" s="28" t="n"/>
      <c r="L2" s="28" t="n"/>
      <c r="M2" s="28" t="n"/>
    </row>
    <row r="3" ht="42" customHeight="1" s="26">
      <c r="A3" s="28" t="n"/>
      <c r="B3" s="28" t="n"/>
      <c r="C3" s="28" t="n"/>
      <c r="D3" s="28" t="n"/>
      <c r="E3" s="28" t="n"/>
      <c r="F3" s="28" t="n"/>
      <c r="G3" s="28" t="n"/>
      <c r="H3" s="28" t="n"/>
      <c r="I3" s="28" t="n"/>
      <c r="J3" s="28" t="n"/>
      <c r="K3" s="28" t="n"/>
      <c r="L3" s="28" t="n"/>
      <c r="M3" s="28" t="n"/>
    </row>
    <row r="4" ht="42" customHeight="1" s="26">
      <c r="A4" s="40" t="inlineStr">
        <is>
          <t>#</t>
        </is>
      </c>
      <c r="B4" s="40" t="inlineStr">
        <is>
          <t>التاريخ</t>
        </is>
      </c>
      <c r="C4" s="40" t="inlineStr">
        <is>
          <t>الجلسة/Run</t>
        </is>
      </c>
      <c r="D4" s="40" t="inlineStr">
        <is>
          <t>WP</t>
        </is>
      </c>
      <c r="E4" s="40" t="inlineStr">
        <is>
          <t>المنفّذ</t>
        </is>
      </c>
      <c r="F4" s="40" t="inlineStr">
        <is>
          <t>الملخص</t>
        </is>
      </c>
      <c r="G4" s="40" t="inlineStr">
        <is>
          <t>المهام (ID: الحالة)</t>
        </is>
      </c>
      <c r="H4" s="40" t="inlineStr">
        <is>
          <t>الملفات المعدّلة</t>
        </is>
      </c>
      <c r="I4" s="40" t="inlineStr">
        <is>
          <t>نتيجة npm run validate</t>
        </is>
      </c>
      <c r="J4" s="40" t="inlineStr">
        <is>
          <t>افتراضات/أسئلة جديدة</t>
        </is>
      </c>
      <c r="K4" s="40" t="inlineStr">
        <is>
          <t>CRs</t>
        </is>
      </c>
      <c r="L4" s="40" t="inlineStr">
        <is>
          <t>الخطوة التالية</t>
        </is>
      </c>
      <c r="M4" s="40" t="inlineStr">
        <is>
          <t>نسخة التتبع بعدها</t>
        </is>
      </c>
    </row>
    <row r="5" ht="42" customHeight="1" s="26">
      <c r="A5" s="31" t="n">
        <v>1</v>
      </c>
      <c r="B5" s="30" t="inlineStr">
        <is>
          <t>2026-10-01</t>
        </is>
      </c>
      <c r="C5" s="30" t="inlineStr">
        <is>
          <t>Session-0 (تخطيط)</t>
        </is>
      </c>
      <c r="D5" s="30" t="inlineStr">
        <is>
          <t>—</t>
        </is>
      </c>
      <c r="E5" s="30" t="inlineStr">
        <is>
          <t>Claude (المنسّق)</t>
        </is>
      </c>
      <c r="F5" s="30" t="inlineStr">
        <is>
          <t>قراءة SRS + تقرير الجاهزية + Swagger + zip الفرونت؛ بناء ملف التتبع هذا. لم تُكتب أي أسطر كود.</t>
        </is>
      </c>
      <c r="G5" s="30" t="inlineStr">
        <is>
          <t>—</t>
        </is>
      </c>
      <c r="H5" s="30" t="inlineStr">
        <is>
          <t>—</t>
        </is>
      </c>
      <c r="I5" s="30" t="inlineStr">
        <is>
          <t>غير منفَّذ (لا شبكة بالبيئة)</t>
        </is>
      </c>
      <c r="J5" s="30" t="inlineStr">
        <is>
          <t>R-01..R-12, Q-01..Q-19, D-01..D-17</t>
        </is>
      </c>
      <c r="K5" s="30" t="inlineStr">
        <is>
          <t>—</t>
        </is>
      </c>
      <c r="L5" s="30" t="inlineStr">
        <is>
          <t>1) المستخدم يجيب Q حاجبة ويلصق عينات JSON (Q-05). 2) تشغيل WP-00 (جلسة واحدة). 3) إطلاق Wave 1 بالتوازي.</t>
        </is>
      </c>
      <c r="M5" s="30" t="inlineStr">
        <is>
          <t>v1.0</t>
        </is>
      </c>
    </row>
    <row r="6" ht="42" customHeight="1" s="26">
      <c r="A6" s="31" t="n">
        <v>2</v>
      </c>
      <c r="B6" s="30" t="inlineStr">
        <is>
          <t>2026-10-01</t>
        </is>
      </c>
      <c r="C6" s="30" t="inlineStr">
        <is>
          <t>Session-0b (تخطيط)</t>
        </is>
      </c>
      <c r="D6" s="30" t="inlineStr">
        <is>
          <t>WP-00</t>
        </is>
      </c>
      <c r="E6" s="30" t="inlineStr">
        <is>
          <t>Claude (المنسّق)</t>
        </is>
      </c>
      <c r="F6" s="30" t="inlineStr">
        <is>
          <t>قرار: Claude ينفّذ WP-00 كاملًا بلا JSON؛ عزل المعتمد على JSON في WP-J؛ إضافة عمودي «يعتمد على JSON؟» و«بوابة البدء» وورقة Availability؛ ترشيح WP-P1 وWP-W2 للبدء الآن.</t>
        </is>
      </c>
      <c r="G6" s="30" t="inlineStr">
        <is>
          <t>—</t>
        </is>
      </c>
      <c r="H6" s="30" t="inlineStr">
        <is>
          <t>Tasks, WorkPackages, Contracts, Availability (لا كود)</t>
        </is>
      </c>
      <c r="I6" s="30" t="inlineStr">
        <is>
          <t>غير منفَّذ</t>
        </is>
      </c>
      <c r="J6" s="30" t="inlineStr">
        <is>
          <t>—</t>
        </is>
      </c>
      <c r="K6" s="30" t="inlineStr">
        <is>
          <t>—</t>
        </is>
      </c>
      <c r="L6" s="30" t="inlineStr">
        <is>
          <t>Claude يبدأ WP-00؛ المستخدم يبدأ WP-P1/WP-W2</t>
        </is>
      </c>
      <c r="M6" s="30" t="inlineStr">
        <is>
          <t>v1.7</t>
        </is>
      </c>
    </row>
    <row r="7" ht="42" customHeight="1" s="26">
      <c r="A7" s="31" t="n">
        <v>3</v>
      </c>
      <c r="B7" s="30" t="inlineStr">
        <is>
          <t>2026-10-01</t>
        </is>
      </c>
      <c r="C7" s="30" t="inlineStr">
        <is>
          <t>WP-00 (تنفيذ)</t>
        </is>
      </c>
      <c r="D7" s="30" t="inlineStr">
        <is>
          <t>WP-00</t>
        </is>
      </c>
      <c r="E7" s="30" t="inlineStr">
        <is>
          <t>Claude</t>
        </is>
      </c>
      <c r="F7" s="30" t="inlineStr">
        <is>
          <t>تسليم WP-00: 17 مهمة منفّذة (طبقة API + enums/format/query-keys/booking-rules + UI مشتركة + 9 route stubs + مكونات stubs + my-courses لوحات + sidebar). لا يوجد JSON مخمَّن: كل رد غير موثّق = PendingResponse.</t>
        </is>
      </c>
      <c r="G7" s="30" t="inlineStr">
        <is>
          <t>00-01..00-16, 00-19, 00-21: قيد المراجعة | 00-17: قيد التنفيذ (المستخدم) | 00-20: لم يبدأ</t>
        </is>
      </c>
      <c r="H7" s="30" t="inlineStr">
        <is>
          <t>wp-00-files.zip (49 ملفًا)</t>
        </is>
      </c>
      <c r="I7" s="30" t="inlineStr">
        <is>
          <t>غير منفَّذ (لا شبكة) — بانتظار 00-17</t>
        </is>
      </c>
      <c r="J7" s="30" t="inlineStr">
        <is>
          <t>Q-15 افتراض: السبت أول الأسبوع</t>
        </is>
      </c>
      <c r="K7" s="30" t="inlineStr">
        <is>
          <t>—</t>
        </is>
      </c>
      <c r="L7" s="30" t="inlineStr">
        <is>
          <t>المستخدم: 00-17. ثم بدء مهام Wave 1 من الفئة A/B (انظر Availability).</t>
        </is>
      </c>
      <c r="M7" s="30" t="inlineStr">
        <is>
          <t>v1.7</t>
        </is>
      </c>
    </row>
    <row r="8" ht="42" customHeight="1" s="26">
      <c r="A8" s="31" t="n">
        <v>4</v>
      </c>
      <c r="B8" s="30" t="inlineStr">
        <is>
          <t>2026-10-01</t>
        </is>
      </c>
      <c r="C8" s="30" t="inlineStr">
        <is>
          <t>A-user (P1+W2)</t>
        </is>
      </c>
      <c r="D8" s="30" t="inlineStr">
        <is>
          <t>WP-P1, WP-W2</t>
        </is>
      </c>
      <c r="E8" s="30" t="inlineStr">
        <is>
          <t>المستخدم</t>
        </is>
      </c>
      <c r="F8" s="30" t="inlineStr">
        <is>
          <t>تسليم WP-P1 (7/7) وWP-W2 (4/4): تقرير ولي الأمر (إشعارات/403/حالة الحضور/قراءة فقط)، إعدادات ولي الأمر، أرباح المعلم (آخر 50 إيداعًا + نص العمولة + مراحل السحب). فحصتُ أنواع الملفات بـtsc مع stubs للمكتبات الخارجية: لا أخطاء حقيقية.</t>
        </is>
      </c>
      <c r="G8" s="30" t="inlineStr">
        <is>
          <t>P1-01..P1-07, W2-01..W2-04: قيد المراجعة</t>
        </is>
      </c>
      <c r="H8" s="30" t="inlineStr">
        <is>
          <t>parent.report.tsx, parent.settings.tsx, teacher.earnings.tsx, lib/parent-report.ts, lib/earnings.ts, lib/query-keys.ts (+qk.teacherEarningsCredits), test-units/*</t>
        </is>
      </c>
      <c r="I8" s="30" t="inlineStr">
        <is>
          <t>غير منفَّذ (لا شبكة) — بانتظار المستخدم</t>
        </is>
      </c>
      <c r="J8" s="30" t="inlineStr">
        <is>
          <t>—</t>
        </is>
      </c>
      <c r="K8" s="30" t="inlineStr">
        <is>
          <t>—</t>
        </is>
      </c>
      <c r="L8" s="30" t="inlineStr">
        <is>
          <t>المستخدم: 17 مهمة (T/W1/S9). Claude: 19 مهمة (S1..S8).</t>
        </is>
      </c>
      <c r="M8" s="30" t="inlineStr">
        <is>
          <t>v1.7</t>
        </is>
      </c>
    </row>
    <row r="9" ht="42" customHeight="1" s="26">
      <c r="A9" s="31" t="n">
        <v>5</v>
      </c>
      <c r="B9" s="30" t="inlineStr">
        <is>
          <t>2026-10-01</t>
        </is>
      </c>
      <c r="C9" s="30" t="inlineStr">
        <is>
          <t>A-claude + A-user (Phase A)</t>
        </is>
      </c>
      <c r="D9" s="30" t="inlineStr">
        <is>
          <t>S1..S8, T1/T2/T4/T5, W1, S9</t>
        </is>
      </c>
      <c r="E9" s="30" t="inlineStr">
        <is>
          <t>Claude + المستخدم</t>
        </is>
      </c>
      <c r="F9" s="30" t="inlineStr">
        <is>
          <t>تسليم Phase A: 36 مهمة (17 للمستخدم + 19 لـClaude). فحص نصف المستخدم بـtsc/اختبارات: لا أخطاء حقيقية (27 اختبارًا نجح). نصف Claude: 23 ملفًا (نوافذ إلغاء/إعادة جدولة/تقييم، لوحات كورساتي، الجدول بفلاتر وانضمام آمن، بطاقة الحضور، شاشة الحجز).</t>
        </is>
      </c>
      <c r="G9" s="30" t="inlineStr">
        <is>
          <t>36 مهمة: قيد المراجعة (كل مهام Phase A)</t>
        </is>
      </c>
      <c r="H9" s="30" t="inlineStr">
        <is>
          <t>wave1-claude-half-files.zip + wave1-half-claude-files.zip</t>
        </is>
      </c>
      <c r="I9" s="30" t="inlineStr">
        <is>
          <t>غير منفَّذ (لا شبكة) — بانتظار المستخدم</t>
        </is>
      </c>
      <c r="J9" s="30" t="inlineStr">
        <is>
          <t>R-14..R-17</t>
        </is>
      </c>
      <c r="K9" s="30" t="inlineStr">
        <is>
          <t>—</t>
        </is>
      </c>
      <c r="L9" s="30" t="inlineStr">
        <is>
          <t>المستخدم: npm run dev → format → validate ثم commit. بعدها J (عينات JSON) لفتح مهام C.</t>
        </is>
      </c>
      <c r="M9" s="30" t="inlineStr">
        <is>
          <t>v1.7</t>
        </is>
      </c>
    </row>
    <row r="10" ht="42" customHeight="1" s="26">
      <c r="A10" s="31" t="n">
        <v>6</v>
      </c>
      <c r="B10" s="30" t="inlineStr">
        <is>
          <t>2026-10-01</t>
        </is>
      </c>
      <c r="C10" s="30" t="inlineStr">
        <is>
          <t>تخطيط (Phase B/C)</t>
        </is>
      </c>
      <c r="D10" s="30" t="inlineStr">
        <is>
          <t>—</t>
        </is>
      </c>
      <c r="E10" s="30" t="inlineStr">
        <is>
          <t>Claude (المنسّق)</t>
        </is>
      </c>
      <c r="F10" s="30" t="inlineStr">
        <is>
          <t>إعادة تصنيف 6 مهام من B إلى C (ما بقي فيها جوهر بلا JSON)؛ إضافة ورقة BackendChecklist (13 عنصرًا) وعمودي «ينتظر (NE)» و«حالة الاعتماد» بـTasks؛ إضافة Q-20 وQ-21.</t>
        </is>
      </c>
      <c r="G10" s="30" t="inlineStr">
        <is>
          <t>—</t>
        </is>
      </c>
      <c r="H10" s="30" t="inlineStr">
        <is>
          <t>هذا الملف فقط (لا كود)</t>
        </is>
      </c>
      <c r="I10" s="30" t="inlineStr">
        <is>
          <t>—</t>
        </is>
      </c>
      <c r="J10" s="30" t="inlineStr">
        <is>
          <t>Q-20, Q-21</t>
        </is>
      </c>
      <c r="K10" s="30" t="inlineStr">
        <is>
          <t>—</t>
        </is>
      </c>
      <c r="L10" s="30" t="inlineStr">
        <is>
          <t>تعبئة BackendChecklist عند وصول العينات؛ بدء مهام B الـ11 (seam) إن رغبت.</t>
        </is>
      </c>
      <c r="M10" s="30" t="inlineStr">
        <is>
          <t>v1.7</t>
        </is>
      </c>
    </row>
    <row r="11" ht="42" customHeight="1" s="26">
      <c r="A11" s="31" t="n">
        <v>7</v>
      </c>
      <c r="B11" s="30" t="inlineStr">
        <is>
          <t>2026-10-01</t>
        </is>
      </c>
      <c r="C11" s="30" t="inlineStr">
        <is>
          <t>تخطيط (Backend)</t>
        </is>
      </c>
      <c r="D11" s="30" t="inlineStr">
        <is>
          <t>—</t>
        </is>
      </c>
      <c r="E11" s="30" t="inlineStr">
        <is>
          <t>Claude (المنسّق)</t>
        </is>
      </c>
      <c r="F11" s="30" t="inlineStr">
        <is>
          <t>تصحيح عدد العينات المطلوبة من 17 إلى 15 (Booking/Submit له رد موثّق، وBooking/MyBookings لا تستخدمه أي مهمة)؛ إضافة NE-14 (تحقق اختياري من أنواع موجودة).</t>
        </is>
      </c>
      <c r="G11" s="30" t="inlineStr">
        <is>
          <t>—</t>
        </is>
      </c>
      <c r="H11" s="30" t="inlineStr">
        <is>
          <t>هذا الملف فقط</t>
        </is>
      </c>
      <c r="I11" s="30" t="inlineStr">
        <is>
          <t>—</t>
        </is>
      </c>
      <c r="J11" s="30" t="inlineStr">
        <is>
          <t>—</t>
        </is>
      </c>
      <c r="K11" s="30" t="inlineStr">
        <is>
          <t>—</t>
        </is>
      </c>
      <c r="L11" s="30" t="inlineStr">
        <is>
          <t>إرسال BackendChecklist لفريق الباك اند.</t>
        </is>
      </c>
      <c r="M11" s="30" t="inlineStr">
        <is>
          <t>v1.7</t>
        </is>
      </c>
    </row>
    <row r="12" ht="42" customHeight="1" s="26">
      <c r="A12" s="31" t="n">
        <v>8</v>
      </c>
      <c r="B12" s="42" t="n"/>
      <c r="C12" s="30" t="n"/>
      <c r="D12" s="30" t="n"/>
      <c r="E12" s="30" t="n"/>
      <c r="F12" s="30" t="n"/>
      <c r="G12" s="30" t="n"/>
      <c r="H12" s="30" t="n"/>
      <c r="I12" s="30" t="n"/>
      <c r="J12" s="30" t="n"/>
      <c r="K12" s="30" t="n"/>
      <c r="L12" s="30" t="n"/>
      <c r="M12" s="30" t="n"/>
    </row>
    <row r="13" ht="42" customHeight="1" s="26">
      <c r="A13" s="31" t="n">
        <v>9</v>
      </c>
      <c r="B13" s="42" t="n"/>
      <c r="C13" s="30" t="n"/>
      <c r="D13" s="30" t="n"/>
      <c r="E13" s="30" t="n"/>
      <c r="F13" s="30" t="n"/>
      <c r="G13" s="30" t="n"/>
      <c r="H13" s="30" t="n"/>
      <c r="I13" s="30" t="n"/>
      <c r="J13" s="30" t="n"/>
      <c r="K13" s="30" t="n"/>
      <c r="L13" s="30" t="n"/>
      <c r="M13" s="30" t="n"/>
    </row>
    <row r="14" ht="42" customHeight="1" s="26">
      <c r="A14" s="31" t="n">
        <v>10</v>
      </c>
      <c r="B14" s="42" t="n"/>
      <c r="C14" s="30" t="n"/>
      <c r="D14" s="30" t="n"/>
      <c r="E14" s="30" t="n"/>
      <c r="F14" s="30" t="n"/>
      <c r="G14" s="30" t="n"/>
      <c r="H14" s="30" t="n"/>
      <c r="I14" s="30" t="n"/>
      <c r="J14" s="30" t="n"/>
      <c r="K14" s="30" t="n"/>
      <c r="L14" s="30" t="n"/>
      <c r="M14" s="30" t="n"/>
    </row>
    <row r="15" ht="42" customHeight="1" s="26">
      <c r="A15" s="31" t="n">
        <v>11</v>
      </c>
      <c r="B15" s="42" t="n"/>
      <c r="C15" s="30" t="n"/>
      <c r="D15" s="30" t="n"/>
      <c r="E15" s="30" t="n"/>
      <c r="F15" s="30" t="n"/>
      <c r="G15" s="30" t="n"/>
      <c r="H15" s="30" t="n"/>
      <c r="I15" s="30" t="n"/>
      <c r="J15" s="30" t="n"/>
      <c r="K15" s="30" t="n"/>
      <c r="L15" s="30" t="n"/>
      <c r="M15" s="30" t="n"/>
    </row>
    <row r="16" ht="42" customHeight="1" s="26">
      <c r="A16" s="31" t="n">
        <v>12</v>
      </c>
      <c r="B16" s="42" t="n"/>
      <c r="C16" s="30" t="n"/>
      <c r="D16" s="30" t="n"/>
      <c r="E16" s="30" t="n"/>
      <c r="F16" s="30" t="n"/>
      <c r="G16" s="30" t="n"/>
      <c r="H16" s="30" t="n"/>
      <c r="I16" s="30" t="n"/>
      <c r="J16" s="30" t="n"/>
      <c r="K16" s="30" t="n"/>
      <c r="L16" s="30" t="n"/>
      <c r="M16" s="30" t="n"/>
    </row>
    <row r="17" ht="42" customHeight="1" s="26">
      <c r="A17" s="31" t="n">
        <v>13</v>
      </c>
      <c r="B17" s="42" t="n"/>
      <c r="C17" s="30" t="n"/>
      <c r="D17" s="30" t="n"/>
      <c r="E17" s="30" t="n"/>
      <c r="F17" s="30" t="n"/>
      <c r="G17" s="30" t="n"/>
      <c r="H17" s="30" t="n"/>
      <c r="I17" s="30" t="n"/>
      <c r="J17" s="30" t="n"/>
      <c r="K17" s="30" t="n"/>
      <c r="L17" s="30" t="n"/>
      <c r="M17" s="30" t="n"/>
    </row>
    <row r="18" ht="42" customHeight="1" s="26">
      <c r="A18" s="31" t="n">
        <v>14</v>
      </c>
      <c r="B18" s="42" t="n"/>
      <c r="C18" s="30" t="n"/>
      <c r="D18" s="30" t="n"/>
      <c r="E18" s="30" t="n"/>
      <c r="F18" s="30" t="n"/>
      <c r="G18" s="30" t="n"/>
      <c r="H18" s="30" t="n"/>
      <c r="I18" s="30" t="n"/>
      <c r="J18" s="30" t="n"/>
      <c r="K18" s="30" t="n"/>
      <c r="L18" s="30" t="n"/>
      <c r="M18" s="30" t="n"/>
    </row>
    <row r="19" ht="42" customHeight="1" s="26">
      <c r="A19" s="31" t="n">
        <v>15</v>
      </c>
      <c r="B19" s="42" t="n"/>
      <c r="C19" s="30" t="n"/>
      <c r="D19" s="30" t="n"/>
      <c r="E19" s="30" t="n"/>
      <c r="F19" s="30" t="n"/>
      <c r="G19" s="30" t="n"/>
      <c r="H19" s="30" t="n"/>
      <c r="I19" s="30" t="n"/>
      <c r="J19" s="30" t="n"/>
      <c r="K19" s="30" t="n"/>
      <c r="L19" s="30" t="n"/>
      <c r="M19" s="30" t="n"/>
    </row>
    <row r="20" ht="42" customHeight="1" s="26">
      <c r="A20" s="31" t="n">
        <v>16</v>
      </c>
      <c r="B20" s="42" t="n"/>
      <c r="C20" s="30" t="n"/>
      <c r="D20" s="30" t="n"/>
      <c r="E20" s="30" t="n"/>
      <c r="F20" s="30" t="n"/>
      <c r="G20" s="30" t="n"/>
      <c r="H20" s="30" t="n"/>
      <c r="I20" s="30" t="n"/>
      <c r="J20" s="30" t="n"/>
      <c r="K20" s="30" t="n"/>
      <c r="L20" s="30" t="n"/>
      <c r="M20" s="30" t="n"/>
    </row>
    <row r="21" ht="42" customHeight="1" s="26">
      <c r="A21" s="31" t="n">
        <v>17</v>
      </c>
      <c r="B21" s="42" t="n"/>
      <c r="C21" s="30" t="n"/>
      <c r="D21" s="30" t="n"/>
      <c r="E21" s="30" t="n"/>
      <c r="F21" s="30" t="n"/>
      <c r="G21" s="30" t="n"/>
      <c r="H21" s="30" t="n"/>
      <c r="I21" s="30" t="n"/>
      <c r="J21" s="30" t="n"/>
      <c r="K21" s="30" t="n"/>
      <c r="L21" s="30" t="n"/>
      <c r="M21" s="30" t="n"/>
    </row>
    <row r="22" ht="42" customHeight="1" s="26">
      <c r="A22" s="31" t="n">
        <v>18</v>
      </c>
      <c r="B22" s="42" t="n"/>
      <c r="C22" s="30" t="n"/>
      <c r="D22" s="30" t="n"/>
      <c r="E22" s="30" t="n"/>
      <c r="F22" s="30" t="n"/>
      <c r="G22" s="30" t="n"/>
      <c r="H22" s="30" t="n"/>
      <c r="I22" s="30" t="n"/>
      <c r="J22" s="30" t="n"/>
      <c r="K22" s="30" t="n"/>
      <c r="L22" s="30" t="n"/>
      <c r="M22" s="30" t="n"/>
    </row>
    <row r="23" ht="42" customHeight="1" s="26">
      <c r="A23" s="31" t="n">
        <v>19</v>
      </c>
      <c r="B23" s="42" t="n"/>
      <c r="C23" s="30" t="n"/>
      <c r="D23" s="30" t="n"/>
      <c r="E23" s="30" t="n"/>
      <c r="F23" s="30" t="n"/>
      <c r="G23" s="30" t="n"/>
      <c r="H23" s="30" t="n"/>
      <c r="I23" s="30" t="n"/>
      <c r="J23" s="30" t="n"/>
      <c r="K23" s="30" t="n"/>
      <c r="L23" s="30" t="n"/>
      <c r="M23" s="30" t="n"/>
    </row>
    <row r="24" ht="42" customHeight="1" s="26">
      <c r="A24" s="31" t="n">
        <v>20</v>
      </c>
      <c r="B24" s="42" t="n"/>
      <c r="C24" s="30" t="n"/>
      <c r="D24" s="30" t="n"/>
      <c r="E24" s="30" t="n"/>
      <c r="F24" s="30" t="n"/>
      <c r="G24" s="30" t="n"/>
      <c r="H24" s="30" t="n"/>
      <c r="I24" s="30" t="n"/>
      <c r="J24" s="30" t="n"/>
      <c r="K24" s="30" t="n"/>
      <c r="L24" s="30" t="n"/>
      <c r="M24" s="30" t="n"/>
    </row>
    <row r="25" ht="42" customHeight="1" s="26">
      <c r="A25" s="31" t="n">
        <v>21</v>
      </c>
      <c r="B25" s="42" t="n"/>
      <c r="C25" s="30" t="n"/>
      <c r="D25" s="30" t="n"/>
      <c r="E25" s="30" t="n"/>
      <c r="F25" s="30" t="n"/>
      <c r="G25" s="30" t="n"/>
      <c r="H25" s="30" t="n"/>
      <c r="I25" s="30" t="n"/>
      <c r="J25" s="30" t="n"/>
      <c r="K25" s="30" t="n"/>
      <c r="L25" s="30" t="n"/>
      <c r="M25" s="30" t="n"/>
    </row>
    <row r="26" ht="42" customHeight="1" s="26">
      <c r="A26" s="31" t="n">
        <v>22</v>
      </c>
      <c r="B26" s="42" t="n"/>
      <c r="C26" s="30" t="n"/>
      <c r="D26" s="30" t="n"/>
      <c r="E26" s="30" t="n"/>
      <c r="F26" s="30" t="n"/>
      <c r="G26" s="30" t="n"/>
      <c r="H26" s="30" t="n"/>
      <c r="I26" s="30" t="n"/>
      <c r="J26" s="30" t="n"/>
      <c r="K26" s="30" t="n"/>
      <c r="L26" s="30" t="n"/>
      <c r="M26" s="30" t="n"/>
    </row>
    <row r="27" ht="42" customHeight="1" s="26">
      <c r="A27" s="31" t="n">
        <v>23</v>
      </c>
      <c r="B27" s="42" t="n"/>
      <c r="C27" s="30" t="n"/>
      <c r="D27" s="30" t="n"/>
      <c r="E27" s="30" t="n"/>
      <c r="F27" s="30" t="n"/>
      <c r="G27" s="30" t="n"/>
      <c r="H27" s="30" t="n"/>
      <c r="I27" s="30" t="n"/>
      <c r="J27" s="30" t="n"/>
      <c r="K27" s="30" t="n"/>
      <c r="L27" s="30" t="n"/>
      <c r="M27" s="30" t="n"/>
    </row>
    <row r="28" ht="42" customHeight="1" s="26">
      <c r="A28" s="31" t="n">
        <v>24</v>
      </c>
      <c r="B28" s="42" t="n"/>
      <c r="C28" s="30" t="n"/>
      <c r="D28" s="30" t="n"/>
      <c r="E28" s="30" t="n"/>
      <c r="F28" s="30" t="n"/>
      <c r="G28" s="30" t="n"/>
      <c r="H28" s="30" t="n"/>
      <c r="I28" s="30" t="n"/>
      <c r="J28" s="30" t="n"/>
      <c r="K28" s="30" t="n"/>
      <c r="L28" s="30" t="n"/>
      <c r="M28" s="30" t="n"/>
    </row>
    <row r="29" ht="42" customHeight="1" s="26">
      <c r="A29" s="31" t="n">
        <v>25</v>
      </c>
      <c r="B29" s="42" t="n"/>
      <c r="C29" s="30" t="n"/>
      <c r="D29" s="30" t="n"/>
      <c r="E29" s="30" t="n"/>
      <c r="F29" s="30" t="n"/>
      <c r="G29" s="30" t="n"/>
      <c r="H29" s="30" t="n"/>
      <c r="I29" s="30" t="n"/>
      <c r="J29" s="30" t="n"/>
      <c r="K29" s="30" t="n"/>
      <c r="L29" s="30" t="n"/>
      <c r="M29" s="30" t="n"/>
    </row>
    <row r="30" ht="42" customHeight="1" s="26">
      <c r="A30" s="31" t="n">
        <v>26</v>
      </c>
      <c r="B30" s="42" t="n"/>
      <c r="C30" s="30" t="n"/>
      <c r="D30" s="30" t="n"/>
      <c r="E30" s="30" t="n"/>
      <c r="F30" s="30" t="n"/>
      <c r="G30" s="30" t="n"/>
      <c r="H30" s="30" t="n"/>
      <c r="I30" s="30" t="n"/>
      <c r="J30" s="30" t="n"/>
      <c r="K30" s="30" t="n"/>
      <c r="L30" s="30" t="n"/>
      <c r="M30" s="30" t="n"/>
    </row>
    <row r="31" ht="42" customHeight="1" s="26">
      <c r="A31" s="31" t="n">
        <v>27</v>
      </c>
      <c r="B31" s="42" t="n"/>
      <c r="C31" s="30" t="n"/>
      <c r="D31" s="30" t="n"/>
      <c r="E31" s="30" t="n"/>
      <c r="F31" s="30" t="n"/>
      <c r="G31" s="30" t="n"/>
      <c r="H31" s="30" t="n"/>
      <c r="I31" s="30" t="n"/>
      <c r="J31" s="30" t="n"/>
      <c r="K31" s="30" t="n"/>
      <c r="L31" s="30" t="n"/>
      <c r="M31" s="30" t="n"/>
    </row>
    <row r="32" ht="42" customHeight="1" s="26">
      <c r="A32" s="31" t="n">
        <v>28</v>
      </c>
      <c r="B32" s="42" t="n"/>
      <c r="C32" s="30" t="n"/>
      <c r="D32" s="30" t="n"/>
      <c r="E32" s="30" t="n"/>
      <c r="F32" s="30" t="n"/>
      <c r="G32" s="30" t="n"/>
      <c r="H32" s="30" t="n"/>
      <c r="I32" s="30" t="n"/>
      <c r="J32" s="30" t="n"/>
      <c r="K32" s="30" t="n"/>
      <c r="L32" s="30" t="n"/>
      <c r="M32" s="30" t="n"/>
    </row>
    <row r="33" ht="42" customHeight="1" s="26">
      <c r="A33" s="31" t="n">
        <v>29</v>
      </c>
      <c r="B33" s="42" t="n"/>
      <c r="C33" s="30" t="n"/>
      <c r="D33" s="30" t="n"/>
      <c r="E33" s="30" t="n"/>
      <c r="F33" s="30" t="n"/>
      <c r="G33" s="30" t="n"/>
      <c r="H33" s="30" t="n"/>
      <c r="I33" s="30" t="n"/>
      <c r="J33" s="30" t="n"/>
      <c r="K33" s="30" t="n"/>
      <c r="L33" s="30" t="n"/>
      <c r="M33" s="30" t="n"/>
    </row>
    <row r="34" ht="42" customHeight="1" s="26">
      <c r="A34" s="31" t="n">
        <v>30</v>
      </c>
      <c r="B34" s="42" t="n"/>
      <c r="C34" s="30" t="n"/>
      <c r="D34" s="30" t="n"/>
      <c r="E34" s="30" t="n"/>
      <c r="F34" s="30" t="n"/>
      <c r="G34" s="30" t="n"/>
      <c r="H34" s="30" t="n"/>
      <c r="I34" s="30" t="n"/>
      <c r="J34" s="30" t="n"/>
      <c r="K34" s="30" t="n"/>
      <c r="L34" s="30" t="n"/>
      <c r="M34" s="30" t="n"/>
    </row>
    <row r="35" ht="42" customHeight="1" s="26">
      <c r="A35" s="31" t="n">
        <v>31</v>
      </c>
      <c r="B35" s="42" t="n"/>
      <c r="C35" s="30" t="n"/>
      <c r="D35" s="30" t="n"/>
      <c r="E35" s="30" t="n"/>
      <c r="F35" s="30" t="n"/>
      <c r="G35" s="30" t="n"/>
      <c r="H35" s="30" t="n"/>
      <c r="I35" s="30" t="n"/>
      <c r="J35" s="30" t="n"/>
      <c r="K35" s="30" t="n"/>
      <c r="L35" s="30" t="n"/>
      <c r="M35" s="30" t="n"/>
    </row>
    <row r="36" ht="42" customHeight="1" s="26">
      <c r="A36" s="31" t="n">
        <v>32</v>
      </c>
      <c r="B36" s="42" t="n"/>
      <c r="C36" s="30" t="n"/>
      <c r="D36" s="30" t="n"/>
      <c r="E36" s="30" t="n"/>
      <c r="F36" s="30" t="n"/>
      <c r="G36" s="30" t="n"/>
      <c r="H36" s="30" t="n"/>
      <c r="I36" s="30" t="n"/>
      <c r="J36" s="30" t="n"/>
      <c r="K36" s="30" t="n"/>
      <c r="L36" s="30" t="n"/>
      <c r="M36" s="30" t="n"/>
    </row>
    <row r="37" ht="42" customHeight="1" s="26">
      <c r="A37" s="31" t="n">
        <v>33</v>
      </c>
      <c r="B37" s="42" t="n"/>
      <c r="C37" s="30" t="n"/>
      <c r="D37" s="30" t="n"/>
      <c r="E37" s="30" t="n"/>
      <c r="F37" s="30" t="n"/>
      <c r="G37" s="30" t="n"/>
      <c r="H37" s="30" t="n"/>
      <c r="I37" s="30" t="n"/>
      <c r="J37" s="30" t="n"/>
      <c r="K37" s="30" t="n"/>
      <c r="L37" s="30" t="n"/>
      <c r="M37" s="30" t="n"/>
    </row>
    <row r="38" ht="42" customHeight="1" s="26">
      <c r="A38" s="31" t="n">
        <v>34</v>
      </c>
      <c r="B38" s="42" t="n"/>
      <c r="C38" s="30" t="n"/>
      <c r="D38" s="30" t="n"/>
      <c r="E38" s="30" t="n"/>
      <c r="F38" s="30" t="n"/>
      <c r="G38" s="30" t="n"/>
      <c r="H38" s="30" t="n"/>
      <c r="I38" s="30" t="n"/>
      <c r="J38" s="30" t="n"/>
      <c r="K38" s="30" t="n"/>
      <c r="L38" s="30" t="n"/>
      <c r="M38" s="30" t="n"/>
    </row>
    <row r="39" ht="42" customHeight="1" s="26">
      <c r="A39" s="31" t="n">
        <v>35</v>
      </c>
      <c r="B39" s="42" t="n"/>
      <c r="C39" s="30" t="n"/>
      <c r="D39" s="30" t="n"/>
      <c r="E39" s="30" t="n"/>
      <c r="F39" s="30" t="n"/>
      <c r="G39" s="30" t="n"/>
      <c r="H39" s="30" t="n"/>
      <c r="I39" s="30" t="n"/>
      <c r="J39" s="30" t="n"/>
      <c r="K39" s="30" t="n"/>
      <c r="L39" s="30" t="n"/>
      <c r="M39" s="30" t="n"/>
    </row>
    <row r="40" ht="42" customHeight="1" s="26">
      <c r="A40" s="31" t="n">
        <v>36</v>
      </c>
      <c r="B40" s="42" t="n"/>
      <c r="C40" s="30" t="n"/>
      <c r="D40" s="30" t="n"/>
      <c r="E40" s="30" t="n"/>
      <c r="F40" s="30" t="n"/>
      <c r="G40" s="30" t="n"/>
      <c r="H40" s="30" t="n"/>
      <c r="I40" s="30" t="n"/>
      <c r="J40" s="30" t="n"/>
      <c r="K40" s="30" t="n"/>
      <c r="L40" s="30" t="n"/>
      <c r="M40" s="30" t="n"/>
    </row>
    <row r="41" ht="42" customHeight="1" s="26">
      <c r="A41" s="31" t="n">
        <v>37</v>
      </c>
      <c r="B41" s="42" t="n"/>
      <c r="C41" s="30" t="n"/>
      <c r="D41" s="30" t="n"/>
      <c r="E41" s="30" t="n"/>
      <c r="F41" s="30" t="n"/>
      <c r="G41" s="30" t="n"/>
      <c r="H41" s="30" t="n"/>
      <c r="I41" s="30" t="n"/>
      <c r="J41" s="30" t="n"/>
      <c r="K41" s="30" t="n"/>
      <c r="L41" s="30" t="n"/>
      <c r="M41" s="30" t="n"/>
    </row>
    <row r="42" ht="42" customHeight="1" s="26">
      <c r="A42" s="31" t="n">
        <v>38</v>
      </c>
      <c r="B42" s="42" t="n"/>
      <c r="C42" s="30" t="n"/>
      <c r="D42" s="30" t="n"/>
      <c r="E42" s="30" t="n"/>
      <c r="F42" s="30" t="n"/>
      <c r="G42" s="30" t="n"/>
      <c r="H42" s="30" t="n"/>
      <c r="I42" s="30" t="n"/>
      <c r="J42" s="30" t="n"/>
      <c r="K42" s="30" t="n"/>
      <c r="L42" s="30" t="n"/>
      <c r="M42" s="30" t="n"/>
    </row>
    <row r="43" ht="42" customHeight="1" s="26">
      <c r="A43" s="31" t="n">
        <v>39</v>
      </c>
      <c r="B43" s="42" t="n"/>
      <c r="C43" s="30" t="n"/>
      <c r="D43" s="30" t="n"/>
      <c r="E43" s="30" t="n"/>
      <c r="F43" s="30" t="n"/>
      <c r="G43" s="30" t="n"/>
      <c r="H43" s="30" t="n"/>
      <c r="I43" s="30" t="n"/>
      <c r="J43" s="30" t="n"/>
      <c r="K43" s="30" t="n"/>
      <c r="L43" s="30" t="n"/>
      <c r="M43" s="30" t="n"/>
    </row>
    <row r="44" ht="42" customHeight="1" s="26">
      <c r="A44" s="31" t="n">
        <v>40</v>
      </c>
      <c r="B44" s="42" t="n"/>
      <c r="C44" s="30" t="n"/>
      <c r="D44" s="30" t="n"/>
      <c r="E44" s="30" t="n"/>
      <c r="F44" s="30" t="n"/>
      <c r="G44" s="30" t="n"/>
      <c r="H44" s="30" t="n"/>
      <c r="I44" s="30" t="n"/>
      <c r="J44" s="30" t="n"/>
      <c r="K44" s="30" t="n"/>
      <c r="L44" s="30" t="n"/>
      <c r="M44" s="30" t="n"/>
    </row>
    <row r="45" ht="42" customHeight="1" s="26">
      <c r="A45" s="31" t="n">
        <v>41</v>
      </c>
      <c r="B45" s="42" t="n"/>
      <c r="C45" s="30" t="n"/>
      <c r="D45" s="30" t="n"/>
      <c r="E45" s="30" t="n"/>
      <c r="F45" s="30" t="n"/>
      <c r="G45" s="30" t="n"/>
      <c r="H45" s="30" t="n"/>
      <c r="I45" s="30" t="n"/>
      <c r="J45" s="30" t="n"/>
      <c r="K45" s="30" t="n"/>
      <c r="L45" s="30" t="n"/>
      <c r="M45" s="30" t="n"/>
    </row>
    <row r="46" ht="42" customHeight="1" s="26">
      <c r="A46" s="31" t="n">
        <v>42</v>
      </c>
      <c r="B46" s="42" t="n"/>
      <c r="C46" s="30" t="n"/>
      <c r="D46" s="30" t="n"/>
      <c r="E46" s="30" t="n"/>
      <c r="F46" s="30" t="n"/>
      <c r="G46" s="30" t="n"/>
      <c r="H46" s="30" t="n"/>
      <c r="I46" s="30" t="n"/>
      <c r="J46" s="30" t="n"/>
      <c r="K46" s="30" t="n"/>
      <c r="L46" s="30" t="n"/>
      <c r="M46" s="30" t="n"/>
    </row>
    <row r="47" ht="42" customHeight="1" s="26">
      <c r="A47" s="31" t="n">
        <v>43</v>
      </c>
      <c r="B47" s="42" t="n"/>
      <c r="C47" s="30" t="n"/>
      <c r="D47" s="30" t="n"/>
      <c r="E47" s="30" t="n"/>
      <c r="F47" s="30" t="n"/>
      <c r="G47" s="30" t="n"/>
      <c r="H47" s="30" t="n"/>
      <c r="I47" s="30" t="n"/>
      <c r="J47" s="30" t="n"/>
      <c r="K47" s="30" t="n"/>
      <c r="L47" s="30" t="n"/>
      <c r="M47" s="30" t="n"/>
    </row>
    <row r="48" ht="42" customHeight="1" s="26">
      <c r="A48" s="31" t="n">
        <v>44</v>
      </c>
      <c r="B48" s="42" t="n"/>
      <c r="C48" s="30" t="n"/>
      <c r="D48" s="30" t="n"/>
      <c r="E48" s="30" t="n"/>
      <c r="F48" s="30" t="n"/>
      <c r="G48" s="30" t="n"/>
      <c r="H48" s="30" t="n"/>
      <c r="I48" s="30" t="n"/>
      <c r="J48" s="30" t="n"/>
      <c r="K48" s="30" t="n"/>
      <c r="L48" s="30" t="n"/>
      <c r="M48" s="30" t="n"/>
    </row>
    <row r="49" ht="42" customHeight="1" s="26">
      <c r="A49" s="31" t="n">
        <v>45</v>
      </c>
      <c r="B49" s="42" t="n"/>
      <c r="C49" s="30" t="n"/>
      <c r="D49" s="30" t="n"/>
      <c r="E49" s="30" t="n"/>
      <c r="F49" s="30" t="n"/>
      <c r="G49" s="30" t="n"/>
      <c r="H49" s="30" t="n"/>
      <c r="I49" s="30" t="n"/>
      <c r="J49" s="30" t="n"/>
      <c r="K49" s="30" t="n"/>
      <c r="L49" s="30" t="n"/>
      <c r="M49" s="30" t="n"/>
    </row>
    <row r="50" ht="42" customHeight="1" s="26">
      <c r="A50" s="31" t="n">
        <v>46</v>
      </c>
      <c r="B50" s="42" t="n"/>
      <c r="C50" s="30" t="n"/>
      <c r="D50" s="30" t="n"/>
      <c r="E50" s="30" t="n"/>
      <c r="F50" s="30" t="n"/>
      <c r="G50" s="30" t="n"/>
      <c r="H50" s="30" t="n"/>
      <c r="I50" s="30" t="n"/>
      <c r="J50" s="30" t="n"/>
      <c r="K50" s="30" t="n"/>
      <c r="L50" s="30" t="n"/>
      <c r="M50" s="30" t="n"/>
    </row>
    <row r="51" ht="42" customHeight="1" s="26">
      <c r="A51" s="31" t="n">
        <v>47</v>
      </c>
      <c r="B51" s="42" t="n"/>
      <c r="C51" s="30" t="n"/>
      <c r="D51" s="30" t="n"/>
      <c r="E51" s="30" t="n"/>
      <c r="F51" s="30" t="n"/>
      <c r="G51" s="30" t="n"/>
      <c r="H51" s="30" t="n"/>
      <c r="I51" s="30" t="n"/>
      <c r="J51" s="30" t="n"/>
      <c r="K51" s="30" t="n"/>
      <c r="L51" s="30" t="n"/>
      <c r="M51" s="30" t="n"/>
    </row>
    <row r="52" ht="42" customHeight="1" s="26">
      <c r="A52" s="31" t="n">
        <v>48</v>
      </c>
      <c r="B52" s="42" t="n"/>
      <c r="C52" s="30" t="n"/>
      <c r="D52" s="30" t="n"/>
      <c r="E52" s="30" t="n"/>
      <c r="F52" s="30" t="n"/>
      <c r="G52" s="30" t="n"/>
      <c r="H52" s="30" t="n"/>
      <c r="I52" s="30" t="n"/>
      <c r="J52" s="30" t="n"/>
      <c r="K52" s="30" t="n"/>
      <c r="L52" s="30" t="n"/>
      <c r="M52" s="30" t="n"/>
    </row>
    <row r="53" ht="42" customHeight="1" s="26">
      <c r="A53" s="31" t="n">
        <v>49</v>
      </c>
      <c r="B53" s="42" t="n"/>
      <c r="C53" s="30" t="n"/>
      <c r="D53" s="30" t="n"/>
      <c r="E53" s="30" t="n"/>
      <c r="F53" s="30" t="n"/>
      <c r="G53" s="30" t="n"/>
      <c r="H53" s="30" t="n"/>
      <c r="I53" s="30" t="n"/>
      <c r="J53" s="30" t="n"/>
      <c r="K53" s="30" t="n"/>
      <c r="L53" s="30" t="n"/>
      <c r="M53" s="30" t="n"/>
    </row>
    <row r="54" ht="42" customHeight="1" s="26">
      <c r="A54" s="31" t="n">
        <v>50</v>
      </c>
      <c r="B54" s="42" t="n"/>
      <c r="C54" s="30" t="n"/>
      <c r="D54" s="30" t="n"/>
      <c r="E54" s="30" t="n"/>
      <c r="F54" s="30" t="n"/>
      <c r="G54" s="30" t="n"/>
      <c r="H54" s="30" t="n"/>
      <c r="I54" s="30" t="n"/>
      <c r="J54" s="30" t="n"/>
      <c r="K54" s="30" t="n"/>
      <c r="L54" s="30" t="n"/>
      <c r="M54" s="30" t="n"/>
    </row>
    <row r="55" ht="42" customHeight="1" s="26">
      <c r="A55" s="31" t="n">
        <v>51</v>
      </c>
      <c r="B55" s="42" t="n"/>
      <c r="C55" s="30" t="n"/>
      <c r="D55" s="30" t="n"/>
      <c r="E55" s="30" t="n"/>
      <c r="F55" s="30" t="n"/>
      <c r="G55" s="30" t="n"/>
      <c r="H55" s="30" t="n"/>
      <c r="I55" s="30" t="n"/>
      <c r="J55" s="30" t="n"/>
      <c r="K55" s="30" t="n"/>
      <c r="L55" s="30" t="n"/>
      <c r="M55" s="30" t="n"/>
    </row>
    <row r="56" ht="42" customHeight="1" s="26">
      <c r="A56" s="31" t="n">
        <v>52</v>
      </c>
      <c r="B56" s="42" t="n"/>
      <c r="C56" s="30" t="n"/>
      <c r="D56" s="30" t="n"/>
      <c r="E56" s="30" t="n"/>
      <c r="F56" s="30" t="n"/>
      <c r="G56" s="30" t="n"/>
      <c r="H56" s="30" t="n"/>
      <c r="I56" s="30" t="n"/>
      <c r="J56" s="30" t="n"/>
      <c r="K56" s="30" t="n"/>
      <c r="L56" s="30" t="n"/>
      <c r="M56" s="30" t="n"/>
    </row>
    <row r="57" ht="42" customHeight="1" s="26">
      <c r="A57" s="31" t="n">
        <v>53</v>
      </c>
      <c r="B57" s="42" t="n"/>
      <c r="C57" s="30" t="n"/>
      <c r="D57" s="30" t="n"/>
      <c r="E57" s="30" t="n"/>
      <c r="F57" s="30" t="n"/>
      <c r="G57" s="30" t="n"/>
      <c r="H57" s="30" t="n"/>
      <c r="I57" s="30" t="n"/>
      <c r="J57" s="30" t="n"/>
      <c r="K57" s="30" t="n"/>
      <c r="L57" s="30" t="n"/>
      <c r="M57" s="30" t="n"/>
    </row>
    <row r="58" ht="42" customHeight="1" s="26">
      <c r="A58" s="31" t="n">
        <v>54</v>
      </c>
      <c r="B58" s="42" t="n"/>
      <c r="C58" s="30" t="n"/>
      <c r="D58" s="30" t="n"/>
      <c r="E58" s="30" t="n"/>
      <c r="F58" s="30" t="n"/>
      <c r="G58" s="30" t="n"/>
      <c r="H58" s="30" t="n"/>
      <c r="I58" s="30" t="n"/>
      <c r="J58" s="30" t="n"/>
      <c r="K58" s="30" t="n"/>
      <c r="L58" s="30" t="n"/>
      <c r="M58" s="30" t="n"/>
    </row>
    <row r="59" ht="42" customHeight="1" s="26">
      <c r="A59" s="31" t="n">
        <v>55</v>
      </c>
      <c r="B59" s="42" t="n"/>
      <c r="C59" s="30" t="n"/>
      <c r="D59" s="30" t="n"/>
      <c r="E59" s="30" t="n"/>
      <c r="F59" s="30" t="n"/>
      <c r="G59" s="30" t="n"/>
      <c r="H59" s="30" t="n"/>
      <c r="I59" s="30" t="n"/>
      <c r="J59" s="30" t="n"/>
      <c r="K59" s="30" t="n"/>
      <c r="L59" s="30" t="n"/>
      <c r="M59" s="3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7F6000"/>
    <outlinePr summaryBelow="1" summaryRight="1"/>
    <pageSetUpPr fitToPage="0"/>
  </sheetPr>
  <dimension ref="A1:B21"/>
  <sheetViews>
    <sheetView showFormulas="0" showGridLines="1" showRowColHeaders="1" showZeros="1" rightToLeft="1"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25" min="1" max="1"/>
    <col width="130" customWidth="1" style="25" min="2" max="2"/>
  </cols>
  <sheetData>
    <row r="1" ht="42" customHeight="1" s="26">
      <c r="A1" s="27" t="inlineStr">
        <is>
          <t>قواعد العمل المتوازي (اقرأها قبل أي جلسة)</t>
        </is>
      </c>
      <c r="B1" s="28" t="n"/>
    </row>
    <row r="2" ht="42" customHeight="1" s="26">
      <c r="A2" s="28" t="n"/>
      <c r="B2" s="28" t="n"/>
    </row>
    <row r="3" ht="42" customHeight="1" s="26">
      <c r="A3" s="40" t="inlineStr">
        <is>
          <t>القاعدة</t>
        </is>
      </c>
      <c r="B3" s="40" t="inlineStr">
        <is>
          <t>التفاصيل</t>
        </is>
      </c>
    </row>
    <row r="4" ht="42" customHeight="1" s="26">
      <c r="A4" s="41" t="inlineStr">
        <is>
          <t>ملكية الملفات</t>
        </is>
      </c>
      <c r="B4" s="31" t="inlineStr">
        <is>
          <t>لا تعدّل أي ملف خارج ما يملكه WP الخاص بك (ورقة FileOwnership). الملفات المجمّدة ممنوعة. الحاجة لتعديل ملف غيرك → صف في ChangeRequests ثم انتظر الموافقة.</t>
        </is>
      </c>
    </row>
    <row r="5" ht="42" customHeight="1" s="26">
      <c r="A5" s="41" t="inlineStr">
        <is>
          <t>ترتيب العمل</t>
        </is>
      </c>
      <c r="B5" s="31" t="inlineStr">
        <is>
          <t>Wave 0 (WP-00) يُدمج أولًا. ثم Wave 1 بالتوازي. ثم WP-QA. لا يبدأ أي WP من Wave 1 قبل إغلاق Wave 0.</t>
        </is>
      </c>
    </row>
    <row r="6" ht="42" customHeight="1" s="26">
      <c r="A6" s="41" t="inlineStr">
        <is>
          <t>routeTree.gen.ts</t>
        </is>
      </c>
      <c r="B6" s="31" t="inlineStr">
        <is>
          <t>ملف تلقائي. لا تعدّله ولا تضعه في PR الخاص بك. إن ظهر فرق محلي بعد dev server فتجاهله (git checkout).</t>
        </is>
      </c>
    </row>
    <row r="7" ht="42" customHeight="1" s="26">
      <c r="A7" s="41" t="inlineStr">
        <is>
          <t>الصلاحيات (Guard)</t>
        </is>
      </c>
      <c r="B7" s="31" t="inlineStr">
        <is>
          <t>لا تضف مفاتيح PAGES جديدة. أعد استخدام المفاتيح المذكورة في Contracts C-17.</t>
        </is>
      </c>
    </row>
    <row r="8" ht="42" customHeight="1" s="26">
      <c r="A8" s="41" t="inlineStr">
        <is>
          <t>النصوص واللغات</t>
        </is>
      </c>
      <c r="B8" s="31" t="inlineStr">
        <is>
          <t>bi("عربي","English") داخل المكوّنات. لا تعدّل ملفات i18n JSON. الواجهة RTL: استخدم الخصائص المنطقية (ms-/me-/start-/end-).</t>
        </is>
      </c>
    </row>
    <row r="9" ht="42" customHeight="1" s="26">
      <c r="A9" s="41" t="inlineStr">
        <is>
          <t>القاعدة الحاكمة (Truth Rule)</t>
        </is>
      </c>
      <c r="B9" s="31" t="inlineStr">
        <is>
          <t>لا بيانات وهمية ولا أرقام مخترعة. إن لم يوفّر الباك اند الحقل → حالة فراغ/«—» صادقة.</t>
        </is>
      </c>
    </row>
    <row r="10" ht="42" customHeight="1" s="26">
      <c r="A10" s="41" t="inlineStr">
        <is>
          <t>نتائج العمليات</t>
        </is>
      </c>
      <c r="B10" s="31" t="inlineStr">
        <is>
          <t>كل POST/PUT يرجع OperationResult: استدعِ assertOk(result,…) وأظهر message القادمة من الباك اند عبر getErrorMessage.</t>
        </is>
      </c>
    </row>
    <row r="11" ht="42" customHeight="1" s="26">
      <c r="A11" s="41" t="inlineStr">
        <is>
          <t>الأنواع الرقمية</t>
        </is>
      </c>
      <c r="B11" s="31" t="inlineStr">
        <is>
          <t>الحالات والأنواع أرقام (BookingStatus 1..6، DeliveryType 1|2، MeetingPlatform 1..4…). لا نصوص. استخدم lib/enums.ts.</t>
        </is>
      </c>
    </row>
    <row r="12" ht="42" customHeight="1" s="26">
      <c r="A12" s="41" t="inlineStr">
        <is>
          <t>هيكل الصفحة</t>
        </is>
      </c>
      <c r="B12" s="31" t="inlineStr">
        <is>
          <t>AppPage + Panel + EmptyState/LoadingState/ErrorState (+RetryButton) + authPageHead(...) كما بالصفحات الحالية. كل صفحة: تحميل/خطأ/فراغ.</t>
        </is>
      </c>
    </row>
    <row r="13" ht="42" customHeight="1" s="26">
      <c r="A13" s="41" t="inlineStr">
        <is>
          <t>react-query</t>
        </is>
      </c>
      <c r="B13" s="31" t="inlineStr">
        <is>
          <t>المفاتيح من lib/query-keys.ts فقط. بعد أي mutation للحجز: invalidateBookingQueries.</t>
        </is>
      </c>
    </row>
    <row r="14" ht="42" customHeight="1" s="26">
      <c r="A14" s="41" t="inlineStr">
        <is>
          <t>الاعتماديات</t>
        </is>
      </c>
      <c r="B14" s="31" t="inlineStr">
        <is>
          <t>ممنوع إضافة npm packages أو تعديل package.json.</t>
        </is>
      </c>
    </row>
    <row r="15" ht="42" customHeight="1" s="26">
      <c r="A15" s="41" t="inlineStr">
        <is>
          <t>الأمان</t>
        </is>
      </c>
      <c r="B15" s="31" t="inlineStr">
        <is>
          <t>روابط خارجية: isHttpUrl + rel="noopener noreferrer". لا dangerouslySetInnerHTML. الباك اند هو حد الأمان؛ الواجهة للإخفاء فقط.</t>
        </is>
      </c>
    </row>
    <row r="16" ht="42" customHeight="1" s="26">
      <c r="A16" s="41" t="inlineStr">
        <is>
          <t>الاختبارات</t>
        </is>
      </c>
      <c r="B16" s="31" t="inlineStr">
        <is>
          <t>أضف vitest لأي منطق نقي جديد. ممنوع وضع ملفات *.test.ts داخل src/routes (TanStack يعاملها كـ routes): اختبارات منطق الصفحات في src/test-units/. اختبارات المكوّنات بجوار المكوّن.</t>
        </is>
      </c>
    </row>
    <row r="17" ht="42" customHeight="1" s="26">
      <c r="A17" s="41" t="inlineStr">
        <is>
          <t>تعريف الإنجاز (DoD)</t>
        </is>
      </c>
      <c r="B17" s="31" t="inlineStr">
        <is>
          <t>(1) كل مهام الـ WP «مكتمل» (2) npm run format &amp;&amp; npm run validate أخضر محليًا (3) لا ملفات خارج الملكية (4) حالات تحميل/خطأ/فراغ (5) RTL+موبايل فُحصت (6) أُضيف تقرير الجلسة (7) اجتاز UAT الخاص بالـ FR أو سُجّل سبب الفشل.</t>
        </is>
      </c>
    </row>
    <row r="18" ht="42" customHeight="1" s="26">
      <c r="A18" s="41" t="inlineStr">
        <is>
          <t>الفروع والـ commits</t>
        </is>
      </c>
      <c r="B18" s="31" t="inlineStr">
        <is>
          <t>فرع لكل WP (WorkPackages!H). رسائل commit تبدأ بـ [WP-xx] (مثال: [WP-S4] add rating dialog).</t>
        </is>
      </c>
    </row>
    <row r="19" ht="42" customHeight="1" s="26">
      <c r="A19" s="41" t="inlineStr">
        <is>
          <t>تحديث هذا الملف</t>
        </is>
      </c>
      <c r="B19" s="31" t="inlineStr">
        <is>
          <t>كاتب واحد (المنسّق). الجلسات المتوازية لا تفتح الإكسل؛ تُنهي بتقرير بصيغة SessionLog، ثم تُدمَج التقارير دفعة واحدة وتُرفع النسخة (README!B3).</t>
        </is>
      </c>
    </row>
    <row r="20" ht="42" customHeight="1" s="26">
      <c r="A20" s="41" t="inlineStr">
        <is>
          <t>القاعدة: لا JSON مُخمَّن</t>
        </is>
      </c>
      <c r="B20" s="31" t="inlineStr">
        <is>
          <t>أي رد غير موثّق بالـSwagger يُكتب PendingResponse ولا تُقرأ حقوله في الواجهة قبل إغلاق WP-J. المهام المعلّمة «يعتمد على JSON؟ = نعم» لا تبدأ قبله؛ «جزئي» تبدأ بالجزء الخالي من JSON (النماذج/المحققات/طلبات الكتابة).</t>
        </is>
      </c>
    </row>
    <row r="21" ht="42" customHeight="1" s="26">
      <c r="A21" s="41" t="inlineStr">
        <is>
          <t>أسماء الملفات الجديدة</t>
        </is>
      </c>
      <c r="B21" s="31" t="inlineStr">
        <is>
          <t>أي ملف جديد يُسجَّل في FileOwnership قبل/عند التسليم. الأسماء المحجوزة لـClaude (A-claude) مذكورة بالورقة؛ لا تُنشئ ملفًا بنفس الاسم. المنطق النقي القابل للاختبار يوضع في src/lib/ واختباراته في src/test-units/.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7F7F7F"/>
    <outlinePr summaryBelow="1" summaryRight="1"/>
    <pageSetUpPr fitToPage="0"/>
  </sheetPr>
  <dimension ref="A1:K2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5" min="1" max="11"/>
  </cols>
  <sheetData>
    <row r="1" ht="42" customHeight="1" s="26">
      <c r="A1" s="38" t="inlineStr">
        <is>
          <t>الحالة</t>
        </is>
      </c>
      <c r="B1" s="38" t="inlineStr">
        <is>
          <t>الأولوية</t>
        </is>
      </c>
      <c r="C1" s="38" t="inlineStr">
        <is>
          <t>الحجم</t>
        </is>
      </c>
      <c r="D1" s="38" t="inlineStr">
        <is>
          <t>نعم/لا</t>
        </is>
      </c>
      <c r="E1" s="38" t="inlineStr">
        <is>
          <t>حالة السؤال</t>
        </is>
      </c>
      <c r="F1" s="38" t="inlineStr">
        <is>
          <t>الخطورة</t>
        </is>
      </c>
      <c r="G1" s="38" t="inlineStr">
        <is>
          <t>نتيجة UAT</t>
        </is>
      </c>
      <c r="H1" s="38" t="inlineStr">
        <is>
          <t>حالة الفرق</t>
        </is>
      </c>
      <c r="I1" s="38" t="inlineStr">
        <is>
          <t>حالة CR</t>
        </is>
      </c>
      <c r="J1" s="38" t="inlineStr">
        <is>
          <t>WP</t>
        </is>
      </c>
      <c r="K1" s="38" t="inlineStr">
        <is>
          <t>الدمج</t>
        </is>
      </c>
    </row>
    <row r="2" ht="42" customHeight="1" s="26">
      <c r="A2" s="46" t="inlineStr">
        <is>
          <t>لم يبدأ</t>
        </is>
      </c>
      <c r="B2" s="46" t="inlineStr">
        <is>
          <t>P0</t>
        </is>
      </c>
      <c r="C2" s="46" t="inlineStr">
        <is>
          <t>S</t>
        </is>
      </c>
      <c r="D2" s="46" t="inlineStr">
        <is>
          <t>نعم</t>
        </is>
      </c>
      <c r="E2" s="46" t="inlineStr">
        <is>
          <t>مفتوح</t>
        </is>
      </c>
      <c r="F2" s="46" t="inlineStr">
        <is>
          <t>حاجب</t>
        </is>
      </c>
      <c r="G2" s="46" t="inlineStr">
        <is>
          <t>لم يُختبر</t>
        </is>
      </c>
      <c r="H2" s="46" t="inlineStr">
        <is>
          <t>مفتوح</t>
        </is>
      </c>
      <c r="I2" s="46" t="inlineStr">
        <is>
          <t>مفتوح</t>
        </is>
      </c>
      <c r="J2" s="46" t="inlineStr">
        <is>
          <t>WP-00</t>
        </is>
      </c>
      <c r="K2" s="46" t="inlineStr">
        <is>
          <t>لا</t>
        </is>
      </c>
    </row>
    <row r="3" ht="42" customHeight="1" s="26">
      <c r="A3" s="46" t="inlineStr">
        <is>
          <t>قيد التنفيذ</t>
        </is>
      </c>
      <c r="B3" s="46" t="inlineStr">
        <is>
          <t>P1</t>
        </is>
      </c>
      <c r="C3" s="46" t="inlineStr">
        <is>
          <t>M</t>
        </is>
      </c>
      <c r="D3" s="46" t="inlineStr">
        <is>
          <t>لا</t>
        </is>
      </c>
      <c r="E3" s="46" t="inlineStr">
        <is>
          <t>تمت الإجابة</t>
        </is>
      </c>
      <c r="F3" s="46" t="inlineStr">
        <is>
          <t>مهم</t>
        </is>
      </c>
      <c r="G3" s="46" t="inlineStr">
        <is>
          <t>نجح</t>
        </is>
      </c>
      <c r="H3" s="46" t="inlineStr">
        <is>
          <t>قيد الإصلاح</t>
        </is>
      </c>
      <c r="I3" s="46" t="inlineStr">
        <is>
          <t>موافق عليه</t>
        </is>
      </c>
      <c r="J3" s="46" t="inlineStr">
        <is>
          <t>WP-J</t>
        </is>
      </c>
      <c r="K3" s="46" t="inlineStr">
        <is>
          <t>نعم</t>
        </is>
      </c>
    </row>
    <row r="4" ht="42" customHeight="1" s="26">
      <c r="A4" s="46" t="inlineStr">
        <is>
          <t>قيد المراجعة</t>
        </is>
      </c>
      <c r="B4" s="46" t="inlineStr">
        <is>
          <t>P2</t>
        </is>
      </c>
      <c r="C4" s="46" t="inlineStr">
        <is>
          <t>L</t>
        </is>
      </c>
      <c r="D4" s="28" t="n"/>
      <c r="E4" s="28" t="n"/>
      <c r="F4" s="46" t="inlineStr">
        <is>
          <t>عادي</t>
        </is>
      </c>
      <c r="G4" s="46" t="inlineStr">
        <is>
          <t>فشل</t>
        </is>
      </c>
      <c r="H4" s="46" t="inlineStr">
        <is>
          <t>مُصلَح</t>
        </is>
      </c>
      <c r="I4" s="46" t="inlineStr">
        <is>
          <t>مرفوض</t>
        </is>
      </c>
      <c r="J4" s="46" t="inlineStr">
        <is>
          <t>WP-T1</t>
        </is>
      </c>
      <c r="K4" s="28" t="n"/>
    </row>
    <row r="5" ht="42" customHeight="1" s="26">
      <c r="A5" s="46" t="inlineStr">
        <is>
          <t>متوقف</t>
        </is>
      </c>
      <c r="B5" s="28" t="n"/>
      <c r="C5" s="28" t="n"/>
      <c r="D5" s="28" t="n"/>
      <c r="E5" s="28" t="n"/>
      <c r="F5" s="28" t="n"/>
      <c r="G5" s="28" t="n"/>
      <c r="H5" s="28" t="n"/>
      <c r="I5" s="46" t="inlineStr">
        <is>
          <t>منفّذ</t>
        </is>
      </c>
      <c r="J5" s="46" t="inlineStr">
        <is>
          <t>WP-T2</t>
        </is>
      </c>
      <c r="K5" s="28" t="n"/>
    </row>
    <row r="6" ht="42" customHeight="1" s="26">
      <c r="A6" s="46" t="inlineStr">
        <is>
          <t>مكتمل</t>
        </is>
      </c>
      <c r="B6" s="28" t="n"/>
      <c r="C6" s="28" t="n"/>
      <c r="D6" s="28" t="n"/>
      <c r="E6" s="28" t="n"/>
      <c r="F6" s="28" t="n"/>
      <c r="G6" s="28" t="n"/>
      <c r="H6" s="28" t="n"/>
      <c r="I6" s="28" t="n"/>
      <c r="J6" s="46" t="inlineStr">
        <is>
          <t>WP-T3</t>
        </is>
      </c>
      <c r="K6" s="28" t="n"/>
    </row>
    <row r="7" ht="42" customHeight="1" s="26">
      <c r="A7" s="46" t="inlineStr">
        <is>
          <t>مؤجل</t>
        </is>
      </c>
      <c r="B7" s="28" t="n"/>
      <c r="C7" s="28" t="n"/>
      <c r="D7" s="28" t="n"/>
      <c r="E7" s="28" t="n"/>
      <c r="F7" s="28" t="n"/>
      <c r="G7" s="28" t="n"/>
      <c r="H7" s="28" t="n"/>
      <c r="I7" s="28" t="n"/>
      <c r="J7" s="46" t="inlineStr">
        <is>
          <t>WP-T4</t>
        </is>
      </c>
      <c r="K7" s="28" t="n"/>
    </row>
    <row r="8" ht="42" customHeight="1" s="26">
      <c r="A8" s="28" t="n"/>
      <c r="B8" s="28" t="n"/>
      <c r="C8" s="28" t="n"/>
      <c r="D8" s="28" t="n"/>
      <c r="E8" s="28" t="n"/>
      <c r="F8" s="28" t="n"/>
      <c r="G8" s="28" t="n"/>
      <c r="H8" s="28" t="n"/>
      <c r="I8" s="28" t="n"/>
      <c r="J8" s="46" t="inlineStr">
        <is>
          <t>WP-T5</t>
        </is>
      </c>
      <c r="K8" s="28" t="n"/>
    </row>
    <row r="9" ht="42" customHeight="1" s="26">
      <c r="A9" s="28" t="n"/>
      <c r="B9" s="28" t="n"/>
      <c r="C9" s="28" t="n"/>
      <c r="D9" s="28" t="n"/>
      <c r="E9" s="28" t="n"/>
      <c r="F9" s="28" t="n"/>
      <c r="G9" s="28" t="n"/>
      <c r="H9" s="28" t="n"/>
      <c r="I9" s="28" t="n"/>
      <c r="J9" s="46" t="inlineStr">
        <is>
          <t>WP-S1</t>
        </is>
      </c>
      <c r="K9" s="28" t="n"/>
    </row>
    <row r="10" ht="42" customHeight="1" s="26">
      <c r="A10" s="28" t="n"/>
      <c r="B10" s="28" t="n"/>
      <c r="C10" s="28" t="n"/>
      <c r="D10" s="28" t="n"/>
      <c r="E10" s="28" t="n"/>
      <c r="F10" s="28" t="n"/>
      <c r="G10" s="28" t="n"/>
      <c r="H10" s="28" t="n"/>
      <c r="I10" s="28" t="n"/>
      <c r="J10" s="46" t="inlineStr">
        <is>
          <t>WP-S2</t>
        </is>
      </c>
      <c r="K10" s="28" t="n"/>
    </row>
    <row r="11" ht="42" customHeight="1" s="26">
      <c r="A11" s="28" t="n"/>
      <c r="B11" s="28" t="n"/>
      <c r="C11" s="28" t="n"/>
      <c r="D11" s="28" t="n"/>
      <c r="E11" s="28" t="n"/>
      <c r="F11" s="28" t="n"/>
      <c r="G11" s="28" t="n"/>
      <c r="H11" s="28" t="n"/>
      <c r="I11" s="28" t="n"/>
      <c r="J11" s="46" t="inlineStr">
        <is>
          <t>WP-S3</t>
        </is>
      </c>
      <c r="K11" s="28" t="n"/>
    </row>
    <row r="12" ht="42" customHeight="1" s="26">
      <c r="A12" s="32" t="inlineStr">
        <is>
          <t>هذه الورقة تغذّي القوائم المنسدلة. لا تحذف أعمدتها.</t>
        </is>
      </c>
      <c r="B12" s="28" t="n"/>
      <c r="C12" s="28" t="n"/>
      <c r="D12" s="28" t="n"/>
      <c r="E12" s="28" t="n"/>
      <c r="F12" s="28" t="n"/>
      <c r="G12" s="28" t="n"/>
      <c r="H12" s="28" t="n"/>
      <c r="I12" s="28" t="n"/>
      <c r="J12" s="46" t="inlineStr">
        <is>
          <t>WP-S4</t>
        </is>
      </c>
      <c r="K12" s="28" t="n"/>
    </row>
    <row r="13" ht="42" customHeight="1" s="26">
      <c r="A13" s="28" t="n"/>
      <c r="B13" s="28" t="n"/>
      <c r="C13" s="28" t="n"/>
      <c r="D13" s="28" t="n"/>
      <c r="E13" s="28" t="n"/>
      <c r="F13" s="28" t="n"/>
      <c r="G13" s="28" t="n"/>
      <c r="H13" s="28" t="n"/>
      <c r="I13" s="28" t="n"/>
      <c r="J13" s="46" t="inlineStr">
        <is>
          <t>WP-S5</t>
        </is>
      </c>
      <c r="K13" s="28" t="n"/>
    </row>
    <row r="14" ht="42" customHeight="1" s="26">
      <c r="A14" s="28" t="n"/>
      <c r="B14" s="28" t="n"/>
      <c r="C14" s="28" t="n"/>
      <c r="D14" s="28" t="n"/>
      <c r="E14" s="28" t="n"/>
      <c r="F14" s="28" t="n"/>
      <c r="G14" s="28" t="n"/>
      <c r="H14" s="28" t="n"/>
      <c r="I14" s="28" t="n"/>
      <c r="J14" s="46" t="inlineStr">
        <is>
          <t>WP-S6</t>
        </is>
      </c>
      <c r="K14" s="28" t="n"/>
    </row>
    <row r="15" ht="42" customHeight="1" s="26">
      <c r="A15" s="28" t="n"/>
      <c r="B15" s="28" t="n"/>
      <c r="C15" s="28" t="n"/>
      <c r="D15" s="28" t="n"/>
      <c r="E15" s="28" t="n"/>
      <c r="F15" s="28" t="n"/>
      <c r="G15" s="28" t="n"/>
      <c r="H15" s="28" t="n"/>
      <c r="I15" s="28" t="n"/>
      <c r="J15" s="46" t="inlineStr">
        <is>
          <t>WP-S7</t>
        </is>
      </c>
      <c r="K15" s="28" t="n"/>
    </row>
    <row r="16" ht="42" customHeight="1" s="26">
      <c r="A16" s="28" t="n"/>
      <c r="B16" s="28" t="n"/>
      <c r="C16" s="28" t="n"/>
      <c r="D16" s="28" t="n"/>
      <c r="E16" s="28" t="n"/>
      <c r="F16" s="28" t="n"/>
      <c r="G16" s="28" t="n"/>
      <c r="H16" s="28" t="n"/>
      <c r="I16" s="28" t="n"/>
      <c r="J16" s="46" t="inlineStr">
        <is>
          <t>WP-S8</t>
        </is>
      </c>
      <c r="K16" s="28" t="n"/>
    </row>
    <row r="17" ht="42" customHeight="1" s="26">
      <c r="A17" s="28" t="n"/>
      <c r="B17" s="28" t="n"/>
      <c r="C17" s="28" t="n"/>
      <c r="D17" s="28" t="n"/>
      <c r="E17" s="28" t="n"/>
      <c r="F17" s="28" t="n"/>
      <c r="G17" s="28" t="n"/>
      <c r="H17" s="28" t="n"/>
      <c r="I17" s="28" t="n"/>
      <c r="J17" s="46" t="inlineStr">
        <is>
          <t>WP-S9</t>
        </is>
      </c>
      <c r="K17" s="28" t="n"/>
    </row>
    <row r="18" ht="42" customHeight="1" s="26">
      <c r="A18" s="28" t="n"/>
      <c r="B18" s="28" t="n"/>
      <c r="C18" s="28" t="n"/>
      <c r="D18" s="28" t="n"/>
      <c r="E18" s="28" t="n"/>
      <c r="F18" s="28" t="n"/>
      <c r="G18" s="28" t="n"/>
      <c r="H18" s="28" t="n"/>
      <c r="I18" s="28" t="n"/>
      <c r="J18" s="46" t="inlineStr">
        <is>
          <t>WP-P1</t>
        </is>
      </c>
      <c r="K18" s="28" t="n"/>
    </row>
    <row r="19" ht="42" customHeight="1" s="26">
      <c r="A19" s="28" t="n"/>
      <c r="B19" s="28" t="n"/>
      <c r="C19" s="28" t="n"/>
      <c r="D19" s="28" t="n"/>
      <c r="E19" s="28" t="n"/>
      <c r="F19" s="28" t="n"/>
      <c r="G19" s="28" t="n"/>
      <c r="H19" s="28" t="n"/>
      <c r="I19" s="28" t="n"/>
      <c r="J19" s="46" t="inlineStr">
        <is>
          <t>WP-W1</t>
        </is>
      </c>
      <c r="K19" s="28" t="n"/>
    </row>
    <row r="20" ht="42" customHeight="1" s="26">
      <c r="A20" s="28" t="n"/>
      <c r="B20" s="28" t="n"/>
      <c r="C20" s="28" t="n"/>
      <c r="D20" s="28" t="n"/>
      <c r="E20" s="28" t="n"/>
      <c r="F20" s="28" t="n"/>
      <c r="G20" s="28" t="n"/>
      <c r="H20" s="28" t="n"/>
      <c r="I20" s="28" t="n"/>
      <c r="J20" s="46" t="inlineStr">
        <is>
          <t>WP-W2</t>
        </is>
      </c>
      <c r="K20" s="28" t="n"/>
    </row>
    <row r="21" ht="42" customHeight="1" s="26">
      <c r="A21" s="28" t="n"/>
      <c r="B21" s="28" t="n"/>
      <c r="C21" s="28" t="n"/>
      <c r="D21" s="28" t="n"/>
      <c r="E21" s="28" t="n"/>
      <c r="F21" s="28" t="n"/>
      <c r="G21" s="28" t="n"/>
      <c r="H21" s="28" t="n"/>
      <c r="I21" s="28" t="n"/>
      <c r="J21" s="46" t="inlineStr">
        <is>
          <t>WP-QA</t>
        </is>
      </c>
      <c r="K21" s="2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26" min="1" max="1"/>
    <col width="110" customWidth="1" style="26" min="2" max="2"/>
  </cols>
  <sheetData>
    <row r="1" ht="42" customHeight="1" s="26">
      <c r="A1" s="48" t="inlineStr">
        <is>
          <t>البند</t>
        </is>
      </c>
      <c r="B1" s="48" t="inlineStr">
        <is>
          <t>الإجابة</t>
        </is>
      </c>
    </row>
    <row r="2" ht="42" customHeight="1" s="26">
      <c r="A2" s="28" t="inlineStr">
        <is>
          <t>مصدر التحليل</t>
        </is>
      </c>
      <c r="B2" s="28" t="inlineStr">
        <is>
          <t>Frontend_Completion_Tracker.xlsx + Acadimia-main.zip</t>
        </is>
      </c>
    </row>
    <row r="3" ht="42" customHeight="1" s="26">
      <c r="A3" s="28" t="inlineStr">
        <is>
          <t>نطاق التحليل</t>
        </is>
      </c>
      <c r="B3" s="28" t="inlineStr">
        <is>
          <t>مطابقة كل FR وAPI والأسئلة المفتوحة والفروقات وقائمة BackendChecklist مع كود الـBackend الفعلي.</t>
        </is>
      </c>
    </row>
    <row r="4" ht="42" customHeight="1" s="26">
      <c r="A4" s="28" t="inlineStr">
        <is>
          <t>النتيجة الأساسية</t>
        </is>
      </c>
      <c r="B4" s="28" t="inlineStr">
        <is>
          <t>الـBackend يغطي مسارات الحجز، الدفع، المحفظة، الكورسات والمجموعات والدروس، الطالب، ولي الأمر، المعلم، التقييم وإعادة الجدولة. معظم البنود غير الجاهزة في التقرير هي فجوات Frontend أو توثيق/عينات JSON.</t>
        </is>
      </c>
    </row>
    <row r="5" ht="42" customHeight="1" s="26">
      <c r="A5" s="28" t="inlineStr">
        <is>
          <t>مهم جدًا</t>
        </is>
      </c>
      <c r="B5" s="28" t="inlineStr">
        <is>
          <t>وجود endpoint/DTO في الكود لا يعني أنه مجرّب Runtime أو موثّق في Swagger. لذلك تم فصل: Backend Implemented / Runtime or JSON Unverified / Frontend Gap.</t>
        </is>
      </c>
    </row>
    <row r="6" ht="42" customHeight="1" s="26">
      <c r="A6" s="28" t="inlineStr">
        <is>
          <t>حالة FR</t>
        </is>
      </c>
      <c r="B6" s="28" t="inlineStr">
        <is>
          <t>تم الإبقاء على حالة Frontend كما هي في الـExcel، وإضافة حكم Backend مستقل حتى لا تختلط جاهزية الواجهة مع جاهزية الباك اند.</t>
        </is>
      </c>
    </row>
    <row r="7" ht="42" customHeight="1" s="26">
      <c r="A7" s="28" t="inlineStr">
        <is>
          <t>أسئلة حاجبة حُسمت من الكود</t>
        </is>
      </c>
      <c r="B7" s="28" t="inlineStr">
        <is>
          <t>Q-01، Q-03 جزئيًا، Q-06، Q-07 جزئيًا، Q-08، Q-09، Q-10، Q-11، Q-12 جزئيًا، Q-14، Q-18، Q-19، Q-21.</t>
        </is>
      </c>
    </row>
    <row r="8" ht="42" customHeight="1" s="26">
      <c r="A8" s="28" t="inlineStr">
        <is>
          <t>أسئلة لا يمكن حسمها من ملفات الكود وحدها</t>
        </is>
      </c>
      <c r="B8" s="28" t="inlineStr">
        <is>
          <t>Q-05 عينات JSON فعلية، Q-17 حسابات اختبار حية، Q-15 ترتيب العرض (قرار UX)، Q-20 بعض الحدود غير المعرّفة صراحةً.</t>
        </is>
      </c>
    </row>
    <row r="9" ht="42" customHeight="1" s="26">
      <c r="A9" s="28" t="inlineStr">
        <is>
          <t>تناقض مهم في Excel</t>
        </is>
      </c>
      <c r="B9" s="28" t="inlineStr">
        <is>
          <t>FR-P11: الكود يوفر unreadNotificationsCount لولي الأمر لكنه لا يوفر endpoint لعرض قائمة إشعارات ولي الأمر؛ لذلك Backend = جزئي.</t>
        </is>
      </c>
    </row>
    <row r="10" ht="42" customHeight="1" s="26">
      <c r="A10" s="28" t="inlineStr">
        <is>
          <t>تناقض مهم في Excel</t>
        </is>
      </c>
      <c r="B10" s="28" t="inlineStr">
        <is>
          <t>Q-19: توجد JoinRequestController/JoinRequestService فعليًا، مع خصم من محفظة الطالب وتحويل صافي للمعلم بعد العمولة عند القبول؛ لذا عبارة «لا توجد endpoints انضمام» أصبحت قديمة بالنسبة للكود المرفق.</t>
        </is>
      </c>
    </row>
    <row r="11" ht="42" customHeight="1" s="26">
      <c r="A11" s="28" t="inlineStr">
        <is>
          <t>تناقض مهم في Excel</t>
        </is>
      </c>
      <c r="B11" s="28" t="inlineStr">
        <is>
          <t>API Map يصف عدة endpoints بأنها ناقصة لأن دوال Frontend غير موجودة، بينما الـController/Service/DTO موجودة في Backend. التقرير الجديد يوضح الفرق.</t>
        </is>
      </c>
    </row>
    <row r="12" ht="42" customHeight="1" s="26">
      <c r="A12" s="28" t="inlineStr">
        <is>
          <t>التوصية</t>
        </is>
      </c>
      <c r="B12" s="28" t="inlineStr">
        <is>
          <t>استخدم ورقة 07_Frontend_Action_Plan كقائمة عمل لمطور الـFrontend، وورقة 03_OpenQuestions_Answers كقائمة ما يجب تأكيده/اختباره مع فريق الـBackend.</t>
        </is>
      </c>
    </row>
  </sheetData>
  <autoFilter ref="A1:B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12" customWidth="1" style="26" min="1" max="1"/>
    <col width="32" customWidth="1" style="26" min="2" max="2"/>
    <col width="20" customWidth="1" style="26" min="3" max="3"/>
    <col width="20" customWidth="1" style="26" min="4" max="4"/>
    <col width="22" customWidth="1" style="26" min="5" max="5"/>
    <col width="38" customWidth="1" style="26" min="6" max="6"/>
    <col width="55" customWidth="1" style="26" min="7" max="7"/>
    <col width="75" customWidth="1" style="26" min="8" max="8"/>
    <col width="18" customWidth="1" style="26" min="9" max="9"/>
    <col width="45" customWidth="1" style="26" min="10" max="10"/>
  </cols>
  <sheetData>
    <row r="1" ht="42" customHeight="1" s="26">
      <c r="A1" s="48" t="inlineStr">
        <is>
          <t>FR</t>
        </is>
      </c>
      <c r="B1" s="48" t="inlineStr">
        <is>
          <t>اسم FR</t>
        </is>
      </c>
      <c r="C1" s="48" t="inlineStr">
        <is>
          <t>حالة التقرير الأصلية</t>
        </is>
      </c>
      <c r="D1" s="48" t="inlineStr">
        <is>
          <t>حالة Frontend الحالية</t>
        </is>
      </c>
      <c r="E1" s="48" t="inlineStr">
        <is>
          <t>حكم Backend</t>
        </is>
      </c>
      <c r="F1" s="48" t="inlineStr">
        <is>
          <t>Endpoint/المسار</t>
        </is>
      </c>
      <c r="G1" s="48" t="inlineStr">
        <is>
          <t>دليل الكود</t>
        </is>
      </c>
      <c r="H1" s="48" t="inlineStr">
        <is>
          <t>التفسير</t>
        </is>
      </c>
      <c r="I1" s="48" t="inlineStr">
        <is>
          <t>WP</t>
        </is>
      </c>
      <c r="J1" s="48" t="inlineStr">
        <is>
          <t>ملاحظات Excel</t>
        </is>
      </c>
    </row>
    <row r="2" ht="42" customHeight="1" s="26">
      <c r="A2" s="28" t="inlineStr">
        <is>
          <t>FR-I02</t>
        </is>
      </c>
      <c r="B2" s="28" t="inlineStr">
        <is>
          <t>إعداد مجموعة طلاب حضورية</t>
        </is>
      </c>
      <c r="C2" s="28" t="inlineStr">
        <is>
          <t>غير جاهز</t>
        </is>
      </c>
      <c r="D2" s="28" t="inlineStr">
        <is>
          <t>قيد التنفيذ</t>
        </is>
      </c>
      <c r="E2" s="49" t="inlineStr">
        <is>
          <t>مدعوم بالكامل</t>
        </is>
      </c>
      <c r="F2" s="28" t="inlineStr">
        <is>
          <t>Course/ConfigureGroupSchedule</t>
        </is>
      </c>
      <c r="G2" s="28" t="inlineStr">
        <is>
          <t>CourseController.ConfigureGroupSchedule + GroupScheduleInputDto</t>
        </is>
      </c>
      <c r="H2" s="28" t="inlineStr">
        <is>
          <t>يدعم groupId, maxStudents, start/end dates, duration, scheduleDays.</t>
        </is>
      </c>
      <c r="I2" s="28" t="inlineStr">
        <is>
          <t>WP-T2</t>
        </is>
      </c>
      <c r="J2" s="28" t="n">
        <v/>
      </c>
    </row>
    <row r="3" ht="42" customHeight="1" s="26">
      <c r="A3" s="28" t="inlineStr">
        <is>
          <t>FR-I03</t>
        </is>
      </c>
      <c r="B3" s="28" t="inlineStr">
        <is>
          <t>عرض طلاب المجموعة</t>
        </is>
      </c>
      <c r="C3" s="28" t="inlineStr">
        <is>
          <t>غير جاهز</t>
        </is>
      </c>
      <c r="D3" s="28" t="inlineStr">
        <is>
          <t>لم يبدأ</t>
        </is>
      </c>
      <c r="E3" s="49" t="inlineStr">
        <is>
          <t>مدعوم بالكامل</t>
        </is>
      </c>
      <c r="F3" s="28" t="inlineStr">
        <is>
          <t>Course/GetGroupStudents</t>
        </is>
      </c>
      <c r="G3" s="28" t="inlineStr">
        <is>
          <t>CourseController.GetGroupStudents + CourseService.GetGroupStudentsAsync</t>
        </is>
      </c>
      <c r="H3" s="28" t="inlineStr">
        <is>
          <t>يطبق ownership على المجموعة ويعيد StudentGroupRosterDto.</t>
        </is>
      </c>
      <c r="I3" s="28" t="inlineStr">
        <is>
          <t>WP-T3</t>
        </is>
      </c>
      <c r="J3" s="28" t="n">
        <v/>
      </c>
    </row>
    <row r="4" ht="42" customHeight="1" s="26">
      <c r="A4" s="28" t="inlineStr">
        <is>
          <t>FR-I04</t>
        </is>
      </c>
      <c r="B4" s="28" t="inlineStr">
        <is>
          <t>إنشاء وجدولة دروس حضورية</t>
        </is>
      </c>
      <c r="C4" s="28" t="inlineStr">
        <is>
          <t>غير جاهز</t>
        </is>
      </c>
      <c r="D4" s="28" t="inlineStr">
        <is>
          <t>قيد التنفيذ</t>
        </is>
      </c>
      <c r="E4" s="49" t="inlineStr">
        <is>
          <t>مدعوم بالكامل</t>
        </is>
      </c>
      <c r="F4" s="28" t="inlineStr">
        <is>
          <t>Lesson/Create</t>
        </is>
      </c>
      <c r="G4" s="28" t="inlineStr">
        <is>
          <t>LessonController.Create + LessonInputDto</t>
        </is>
      </c>
      <c r="H4" s="28" t="inlineStr">
        <is>
          <t>يدعم التاريخ والوقت والمدة والعنوان والمجموعة/الكورس.</t>
        </is>
      </c>
      <c r="I4" s="28" t="inlineStr">
        <is>
          <t>WP-T4</t>
        </is>
      </c>
      <c r="J4" s="28" t="n">
        <v/>
      </c>
    </row>
    <row r="5" ht="42" customHeight="1" s="26">
      <c r="A5" s="28" t="inlineStr">
        <is>
          <t>FR-I06</t>
        </is>
      </c>
      <c r="B5" s="28" t="inlineStr">
        <is>
          <t>إعداد مجموعة كورس أونلاين</t>
        </is>
      </c>
      <c r="C5" s="28" t="inlineStr">
        <is>
          <t>غير جاهز</t>
        </is>
      </c>
      <c r="D5" s="28" t="inlineStr">
        <is>
          <t>لم يبدأ</t>
        </is>
      </c>
      <c r="E5" s="49" t="inlineStr">
        <is>
          <t>مدعوم بالكامل</t>
        </is>
      </c>
      <c r="F5" s="28" t="inlineStr">
        <is>
          <t>Course/ConfigureGroupSchedule</t>
        </is>
      </c>
      <c r="G5" s="28" t="inlineStr">
        <is>
          <t>GroupScheduleInputDto</t>
        </is>
      </c>
      <c r="H5" s="28" t="inlineStr">
        <is>
          <t>نفس مسار الجدولة، ويعمل للمجموعة بغض النظر عن نمط التسليم؛ DeliveryType موجود في الكورس.</t>
        </is>
      </c>
      <c r="I5" s="28" t="inlineStr">
        <is>
          <t>WP-T2</t>
        </is>
      </c>
      <c r="J5" s="28" t="n">
        <v/>
      </c>
    </row>
    <row r="6" ht="42" customHeight="1" s="26">
      <c r="A6" s="28" t="inlineStr">
        <is>
          <t>FR-I08</t>
        </is>
      </c>
      <c r="B6" s="28" t="inlineStr">
        <is>
          <t>إنشاء وجدولة دروس أونلاين</t>
        </is>
      </c>
      <c r="C6" s="28" t="inlineStr">
        <is>
          <t>غير جاهز</t>
        </is>
      </c>
      <c r="D6" s="28" t="inlineStr">
        <is>
          <t>قيد التنفيذ</t>
        </is>
      </c>
      <c r="E6" s="49" t="inlineStr">
        <is>
          <t>مدعوم بالكامل</t>
        </is>
      </c>
      <c r="F6" s="28" t="inlineStr">
        <is>
          <t>Lesson/Create + ConfigureMeeting</t>
        </is>
      </c>
      <c r="G6" s="28" t="inlineStr">
        <is>
          <t>LessonController.Create/ConfigureMeeting</t>
        </is>
      </c>
      <c r="H6" s="28" t="inlineStr">
        <is>
          <t>يدعم MeetingPlatform وMeetingUrl وInstructions.</t>
        </is>
      </c>
      <c r="I6" s="28" t="inlineStr">
        <is>
          <t>WP-T4</t>
        </is>
      </c>
      <c r="J6" s="28" t="n">
        <v/>
      </c>
    </row>
    <row r="7" ht="42" customHeight="1" s="26">
      <c r="A7" s="28" t="inlineStr">
        <is>
          <t>FR-T06</t>
        </is>
      </c>
      <c r="B7" s="28" t="inlineStr">
        <is>
          <t>معالجة دفع الحجز</t>
        </is>
      </c>
      <c r="C7" s="28" t="inlineStr">
        <is>
          <t>غير جاهز</t>
        </is>
      </c>
      <c r="D7" s="28" t="inlineStr">
        <is>
          <t>قيد التنفيذ</t>
        </is>
      </c>
      <c r="E7" s="49" t="inlineStr">
        <is>
          <t>مدعوم بالكامل</t>
        </is>
      </c>
      <c r="F7" s="28" t="inlineStr">
        <is>
          <t>Booking/Submit + Booking/Decide</t>
        </is>
      </c>
      <c r="G7" s="28" t="inlineStr">
        <is>
          <t>BookingService.DecideBookingAsync</t>
        </is>
      </c>
      <c r="H7" s="28" t="inlineStr">
        <is>
          <t>عند القبول: يتحقق من الرصيد، يخصم السعر، يحسب العمولة، ويضيف صافي المعلم ضمن transaction.</t>
        </is>
      </c>
      <c r="I7" s="28" t="inlineStr">
        <is>
          <t>WP-S1, WP-T5</t>
        </is>
      </c>
      <c r="J7" s="28" t="n">
        <v/>
      </c>
    </row>
    <row r="8" ht="42" customHeight="1" s="26">
      <c r="A8" s="28" t="inlineStr">
        <is>
          <t>FR-T11</t>
        </is>
      </c>
      <c r="B8" s="28" t="inlineStr">
        <is>
          <t>تقييم المعلم بعد الجلسة</t>
        </is>
      </c>
      <c r="C8" s="28" t="inlineStr">
        <is>
          <t>غير جاهز</t>
        </is>
      </c>
      <c r="D8" s="28" t="inlineStr">
        <is>
          <t>قيد التنفيذ</t>
        </is>
      </c>
      <c r="E8" s="49" t="inlineStr">
        <is>
          <t>مدعوم بالكامل</t>
        </is>
      </c>
      <c r="F8" s="28" t="inlineStr">
        <is>
          <t>Booking/Rate</t>
        </is>
      </c>
      <c r="G8" s="28" t="inlineStr">
        <is>
          <t>BookingService.RateTeacherAsync</t>
        </is>
      </c>
      <c r="H8" s="28" t="inlineStr">
        <is>
          <t>يشترط Completed ويمنع التقييم المكرر على نفس الحجز.</t>
        </is>
      </c>
      <c r="I8" s="28" t="inlineStr">
        <is>
          <t>WP-S4</t>
        </is>
      </c>
      <c r="J8" s="28" t="n">
        <v/>
      </c>
    </row>
    <row r="9" ht="42" customHeight="1" s="26">
      <c r="A9" s="28" t="inlineStr">
        <is>
          <t>FR-W03a</t>
        </is>
      </c>
      <c r="B9" s="28" t="inlineStr">
        <is>
          <t>خصم رسوم التسجيل من محفظة الطالب</t>
        </is>
      </c>
      <c r="C9" s="50" t="inlineStr">
        <is>
          <t>جزئي</t>
        </is>
      </c>
      <c r="D9" s="28" t="inlineStr">
        <is>
          <t>قيد التنفيذ</t>
        </is>
      </c>
      <c r="E9" s="49" t="inlineStr">
        <is>
          <t>مدعوم بالكامل</t>
        </is>
      </c>
      <c r="F9" s="28" t="inlineStr">
        <is>
          <t>JoinRequest/Decide + Booking/Decide</t>
        </is>
      </c>
      <c r="G9" s="28" t="inlineStr">
        <is>
          <t>JoinRequestService.DecideAsync / BookingService.DecideBookingAsync</t>
        </is>
      </c>
      <c r="H9" s="28" t="inlineStr">
        <is>
          <t>مسار الانضمام أيضًا يخصم الرسوم عند القبول إذا كانت الرسوم &gt; 0.</t>
        </is>
      </c>
      <c r="I9" s="28" t="inlineStr">
        <is>
          <t>WP-W1</t>
        </is>
      </c>
      <c r="J9" s="28" t="n">
        <v/>
      </c>
    </row>
    <row r="10" ht="42" customHeight="1" s="26">
      <c r="A10" s="28" t="inlineStr">
        <is>
          <t>FR-W03b</t>
        </is>
      </c>
      <c r="B10" s="28" t="inlineStr">
        <is>
          <t>إيداع أرباح المعلم بعد العمولة</t>
        </is>
      </c>
      <c r="C10" s="50" t="inlineStr">
        <is>
          <t>جزئي</t>
        </is>
      </c>
      <c r="D10" s="28" t="inlineStr">
        <is>
          <t>قيد التنفيذ</t>
        </is>
      </c>
      <c r="E10" s="49" t="inlineStr">
        <is>
          <t>مدعوم بالكامل</t>
        </is>
      </c>
      <c r="F10" s="28" t="inlineStr">
        <is>
          <t>JoinRequest/Decide + Booking/Decide</t>
        </is>
      </c>
      <c r="G10" s="28" t="inlineStr">
        <is>
          <t>WalletTransaction InstructorCredit</t>
        </is>
      </c>
      <c r="H10" s="28" t="inlineStr">
        <is>
          <t>يحوّل صافي الرسوم للمعلم بعد العمولة.</t>
        </is>
      </c>
      <c r="I10" s="28" t="inlineStr">
        <is>
          <t>WP-W2</t>
        </is>
      </c>
      <c r="J10" s="28" t="n">
        <v/>
      </c>
    </row>
    <row r="11" ht="42" customHeight="1" s="26">
      <c r="A11" s="28" t="inlineStr">
        <is>
          <t>FR-P04</t>
        </is>
      </c>
      <c r="B11" s="28" t="inlineStr">
        <is>
          <t>عرض حضور الطالب (ولي أمر)</t>
        </is>
      </c>
      <c r="C11" s="28" t="inlineStr">
        <is>
          <t>جاهز</t>
        </is>
      </c>
      <c r="D11" s="28" t="inlineStr">
        <is>
          <t>جاهز (أصلي)</t>
        </is>
      </c>
      <c r="E11" s="49" t="inlineStr">
        <is>
          <t>مدعوم بالكامل</t>
        </is>
      </c>
      <c r="F11" s="28" t="inlineStr">
        <is>
          <t>Parent/ChildAttendance</t>
        </is>
      </c>
      <c r="G11" s="28" t="inlineStr">
        <is>
          <t>ParentService.GetChildAttendanceAsync</t>
        </is>
      </c>
      <c r="H11" s="28" t="inlineStr">
        <is>
          <t>يتحقق من ParentStudentLinks قبل الإرجاع.</t>
        </is>
      </c>
      <c r="I11" s="28" t="inlineStr">
        <is>
          <t>—</t>
        </is>
      </c>
      <c r="J11" s="28" t="n">
        <v/>
      </c>
    </row>
    <row r="12" ht="42" customHeight="1" s="26">
      <c r="A12" s="28" t="inlineStr">
        <is>
          <t>FR-P05</t>
        </is>
      </c>
      <c r="B12" s="28" t="inlineStr">
        <is>
          <t>عرض نتائج الامتحانات (ولي أمر)</t>
        </is>
      </c>
      <c r="C12" s="28" t="inlineStr">
        <is>
          <t>جاهز</t>
        </is>
      </c>
      <c r="D12" s="28" t="inlineStr">
        <is>
          <t>جاهز (أصلي)</t>
        </is>
      </c>
      <c r="E12" s="49" t="inlineStr">
        <is>
          <t>مدعوم بالكامل</t>
        </is>
      </c>
      <c r="F12" s="28" t="inlineStr">
        <is>
          <t>Parent/ChildExamResults</t>
        </is>
      </c>
      <c r="G12" s="28" t="inlineStr">
        <is>
          <t>ParentService.GetChildExamResultsAsync</t>
        </is>
      </c>
      <c r="H12" s="28" t="inlineStr">
        <is>
          <t>يتحقق من الرابط قبل إرجاع النتائج.</t>
        </is>
      </c>
      <c r="I12" s="28" t="inlineStr">
        <is>
          <t>—</t>
        </is>
      </c>
      <c r="J12" s="28" t="n">
        <v/>
      </c>
    </row>
    <row r="13" ht="42" customHeight="1" s="26">
      <c r="A13" s="28" t="inlineStr">
        <is>
          <t>FR-P06</t>
        </is>
      </c>
      <c r="B13" s="28" t="inlineStr">
        <is>
          <t>احتساب نسبة الحضور</t>
        </is>
      </c>
      <c r="C13" s="28" t="inlineStr">
        <is>
          <t>جاهز</t>
        </is>
      </c>
      <c r="D13" s="28" t="inlineStr">
        <is>
          <t>جاهز (أصلي)</t>
        </is>
      </c>
      <c r="E13" s="49" t="inlineStr">
        <is>
          <t>مدعوم بالكامل</t>
        </is>
      </c>
      <c r="F13" s="28" t="inlineStr">
        <is>
          <t>Parent/MyChildren</t>
        </is>
      </c>
      <c r="G13" s="28" t="inlineStr">
        <is>
          <t>ParentService.GetMyChildrenAsync</t>
        </is>
      </c>
      <c r="H13" s="28" t="inlineStr">
        <is>
          <t>يحسب AttendanceRatePercent من الحضور/الإجمالي.</t>
        </is>
      </c>
      <c r="I13" s="28" t="inlineStr">
        <is>
          <t>—</t>
        </is>
      </c>
      <c r="J13" s="28" t="n">
        <v/>
      </c>
    </row>
    <row r="14" ht="42" customHeight="1" s="26">
      <c r="A14" s="28" t="inlineStr">
        <is>
          <t>FR-P08</t>
        </is>
      </c>
      <c r="B14" s="28" t="inlineStr">
        <is>
          <t>تقييد وصول ولي الأمر للأبناء المرتبطين</t>
        </is>
      </c>
      <c r="C14" s="50" t="inlineStr">
        <is>
          <t>جزئي</t>
        </is>
      </c>
      <c r="D14" s="28" t="inlineStr">
        <is>
          <t>قيد التنفيذ</t>
        </is>
      </c>
      <c r="E14" s="49" t="inlineStr">
        <is>
          <t>مدعوم بالكامل</t>
        </is>
      </c>
      <c r="F14" s="28" t="inlineStr">
        <is>
          <t>Parent/MyChildren + child access checks</t>
        </is>
      </c>
      <c r="G14" s="28" t="inlineStr">
        <is>
          <t>ParentService.HasAccessAsync</t>
        </is>
      </c>
      <c r="H14" s="28" t="inlineStr">
        <is>
          <t>التقييد الأمني موجود فعليًا لكل child attendance/exam.</t>
        </is>
      </c>
      <c r="I14" s="28" t="inlineStr">
        <is>
          <t>WP-P1</t>
        </is>
      </c>
      <c r="J14" s="28" t="n">
        <v/>
      </c>
    </row>
    <row r="15" ht="42" customHeight="1" s="26">
      <c r="A15" s="28" t="inlineStr">
        <is>
          <t>FR-P11</t>
        </is>
      </c>
      <c r="B15" s="28" t="inlineStr">
        <is>
          <t>عرض إشعارات ولي الأمر</t>
        </is>
      </c>
      <c r="C15" s="28" t="inlineStr">
        <is>
          <t>غير جاهز</t>
        </is>
      </c>
      <c r="D15" s="28" t="inlineStr">
        <is>
          <t>قيد التنفيذ</t>
        </is>
      </c>
      <c r="E15" s="50" t="inlineStr">
        <is>
          <t>مدعوم جزئيًا</t>
        </is>
      </c>
      <c r="F15" s="28" t="inlineStr">
        <is>
          <t>Parent/MyChildren</t>
        </is>
      </c>
      <c r="G15" s="28" t="inlineStr">
        <is>
          <t>ChildOverviewDto.UnreadNotificationsCount</t>
        </is>
      </c>
      <c r="H15" s="28" t="inlineStr">
        <is>
          <t>يوجد عداد unread على حساب ولي الأمر، لكن لا يوجد endpoint لقائمة إشعارات ولي الأمر في ParentController.</t>
        </is>
      </c>
      <c r="I15" s="28" t="inlineStr">
        <is>
          <t>WP-P1</t>
        </is>
      </c>
      <c r="J15" s="28" t="n">
        <v/>
      </c>
    </row>
    <row r="16" ht="42" customHeight="1" s="26">
      <c r="A16" s="28" t="inlineStr">
        <is>
          <t>FR-P13</t>
        </is>
      </c>
      <c r="B16" s="28" t="inlineStr">
        <is>
          <t>عرض اسم وصف الطالب</t>
        </is>
      </c>
      <c r="C16" s="28" t="inlineStr">
        <is>
          <t>جاهز</t>
        </is>
      </c>
      <c r="D16" s="28" t="inlineStr">
        <is>
          <t>جاهز (أصلي)</t>
        </is>
      </c>
      <c r="E16" s="49" t="inlineStr">
        <is>
          <t>مدعوم بالكامل</t>
        </is>
      </c>
      <c r="F16" s="28" t="inlineStr">
        <is>
          <t>Parent/MyChildren</t>
        </is>
      </c>
      <c r="G16" s="28" t="inlineStr">
        <is>
          <t>ChildOverviewDto</t>
        </is>
      </c>
      <c r="H16" s="28" t="inlineStr">
        <is>
          <t>يعيد StudentName وGradeName.</t>
        </is>
      </c>
      <c r="I16" s="28" t="inlineStr">
        <is>
          <t>—</t>
        </is>
      </c>
      <c r="J16" s="28" t="n">
        <v/>
      </c>
    </row>
    <row r="17" ht="42" customHeight="1" s="26">
      <c r="A17" s="28" t="inlineStr">
        <is>
          <t>FR-S01</t>
        </is>
      </c>
      <c r="B17" s="28" t="inlineStr">
        <is>
          <t>لوحة الطالب</t>
        </is>
      </c>
      <c r="C17" s="28" t="inlineStr">
        <is>
          <t>جاهز</t>
        </is>
      </c>
      <c r="D17" s="28" t="inlineStr">
        <is>
          <t>جاهز (أصلي)</t>
        </is>
      </c>
      <c r="E17" s="49" t="inlineStr">
        <is>
          <t>مدعوم بالكامل</t>
        </is>
      </c>
      <c r="F17" s="28" t="inlineStr">
        <is>
          <t>Student/Dashboard</t>
        </is>
      </c>
      <c r="G17" s="28" t="inlineStr">
        <is>
          <t>StudentService.GetDashboardAsync + StudentDashboardDto</t>
        </is>
      </c>
      <c r="H17" s="28" t="inlineStr">
        <is>
          <t>يشمل اسم الطالب، حالة الربط، الكورسات، الجدول، التقدم، المحفظة والإشعارات.</t>
        </is>
      </c>
      <c r="I17" s="28" t="inlineStr">
        <is>
          <t>—</t>
        </is>
      </c>
      <c r="J17" s="28" t="n">
        <v/>
      </c>
    </row>
    <row r="18" ht="42" customHeight="1" s="26">
      <c r="A18" s="28" t="inlineStr">
        <is>
          <t>FR-S02</t>
        </is>
      </c>
      <c r="B18" s="28" t="inlineStr">
        <is>
          <t>عرض طلبات الحجز</t>
        </is>
      </c>
      <c r="C18" s="28" t="inlineStr">
        <is>
          <t>جاهز</t>
        </is>
      </c>
      <c r="D18" s="28" t="inlineStr">
        <is>
          <t>جاهز (أصلي)</t>
        </is>
      </c>
      <c r="E18" s="49" t="inlineStr">
        <is>
          <t>مدعوم بالكامل</t>
        </is>
      </c>
      <c r="F18" s="28" t="inlineStr">
        <is>
          <t>Student/MyRequests</t>
        </is>
      </c>
      <c r="G18" s="28" t="inlineStr">
        <is>
          <t>StudentController.MyRequests</t>
        </is>
      </c>
      <c r="H18" s="28" t="inlineStr">
        <is>
          <t>يعيد طلبات الطالب حسب الحالة.</t>
        </is>
      </c>
      <c r="I18" s="28" t="inlineStr">
        <is>
          <t>—</t>
        </is>
      </c>
      <c r="J18" s="28" t="n">
        <v/>
      </c>
    </row>
    <row r="19" ht="42" customHeight="1" s="26">
      <c r="A19" s="28" t="inlineStr">
        <is>
          <t>FR-S03</t>
        </is>
      </c>
      <c r="B19" s="28" t="inlineStr">
        <is>
          <t>عرض حالة الحجز</t>
        </is>
      </c>
      <c r="C19" s="28" t="inlineStr">
        <is>
          <t>جاهز</t>
        </is>
      </c>
      <c r="D19" s="28" t="inlineStr">
        <is>
          <t>جاهز (أصلي)</t>
        </is>
      </c>
      <c r="E19" s="49" t="inlineStr">
        <is>
          <t>مدعوم بالكامل</t>
        </is>
      </c>
      <c r="F19" s="28" t="inlineStr">
        <is>
          <t>Student/GetBooking / MyRequests</t>
        </is>
      </c>
      <c r="G19" s="28" t="inlineStr">
        <is>
          <t>StudentService</t>
        </is>
      </c>
      <c r="H19" s="28" t="inlineStr">
        <is>
          <t>Booking DTO يتضمن Status.</t>
        </is>
      </c>
      <c r="I19" s="28" t="inlineStr">
        <is>
          <t>—</t>
        </is>
      </c>
      <c r="J19" s="28" t="n">
        <v/>
      </c>
    </row>
    <row r="20" ht="42" customHeight="1" s="26">
      <c r="A20" s="28" t="inlineStr">
        <is>
          <t>FR-S04</t>
        </is>
      </c>
      <c r="B20" s="28" t="inlineStr">
        <is>
          <t>عرض الحجوزات المؤكدة</t>
        </is>
      </c>
      <c r="C20" s="28" t="inlineStr">
        <is>
          <t>جاهز</t>
        </is>
      </c>
      <c r="D20" s="28" t="inlineStr">
        <is>
          <t>جاهز (أصلي)</t>
        </is>
      </c>
      <c r="E20" s="49" t="inlineStr">
        <is>
          <t>مدعوم بالكامل</t>
        </is>
      </c>
      <c r="F20" s="28" t="inlineStr">
        <is>
          <t>Student/MyBookings</t>
        </is>
      </c>
      <c r="G20" s="28" t="inlineStr">
        <is>
          <t>BookingService.GetMyBookingsAsync</t>
        </is>
      </c>
      <c r="H20" s="28" t="inlineStr">
        <is>
          <t>يعيد حجوزات الطالب المؤكدة حسب خدمة Student.</t>
        </is>
      </c>
      <c r="I20" s="28" t="inlineStr">
        <is>
          <t>—</t>
        </is>
      </c>
      <c r="J20" s="28" t="n">
        <v/>
      </c>
    </row>
    <row r="21" ht="42" customHeight="1" s="26">
      <c r="A21" s="28" t="inlineStr">
        <is>
          <t>FR-S05</t>
        </is>
      </c>
      <c r="B21" s="28" t="inlineStr">
        <is>
          <t>جدول الطالب</t>
        </is>
      </c>
      <c r="C21" s="28" t="inlineStr">
        <is>
          <t>جاهز</t>
        </is>
      </c>
      <c r="D21" s="28" t="inlineStr">
        <is>
          <t>جاهز (أصلي)</t>
        </is>
      </c>
      <c r="E21" s="49" t="inlineStr">
        <is>
          <t>مدعوم بالكامل</t>
        </is>
      </c>
      <c r="F21" s="28" t="inlineStr">
        <is>
          <t>Student/Schedule</t>
        </is>
      </c>
      <c r="G21" s="28" t="inlineStr">
        <is>
          <t>StudentService.GetScheduleAsync</t>
        </is>
      </c>
      <c r="H21" s="28" t="inlineStr">
        <is>
          <t>مسار موجود مع StudentScheduleFilterDto.</t>
        </is>
      </c>
      <c r="I21" s="28" t="inlineStr">
        <is>
          <t>—</t>
        </is>
      </c>
      <c r="J21" s="28" t="n">
        <v/>
      </c>
    </row>
    <row r="22" ht="42" customHeight="1" s="26">
      <c r="A22" s="28" t="inlineStr">
        <is>
          <t>FR-S06</t>
        </is>
      </c>
      <c r="B22" s="28" t="inlineStr">
        <is>
          <t>تفاصيل درس حضوري</t>
        </is>
      </c>
      <c r="C22" s="50" t="inlineStr">
        <is>
          <t>جزئي</t>
        </is>
      </c>
      <c r="D22" s="28" t="inlineStr">
        <is>
          <t>قيد التنفيذ</t>
        </is>
      </c>
      <c r="E22" s="49" t="inlineStr">
        <is>
          <t>مدعوم بالكامل</t>
        </is>
      </c>
      <c r="F22" s="28" t="inlineStr">
        <is>
          <t>Student/GetLesson</t>
        </is>
      </c>
      <c r="G22" s="28" t="inlineStr">
        <is>
          <t>StudentLessonDetailDto</t>
        </is>
      </c>
      <c r="H22" s="28" t="inlineStr">
        <is>
          <t>يدعم Room وLocationAvailable وGroupName.</t>
        </is>
      </c>
      <c r="I22" s="28" t="inlineStr">
        <is>
          <t>WP-S5</t>
        </is>
      </c>
      <c r="J22" s="28" t="n">
        <v/>
      </c>
    </row>
    <row r="23" ht="42" customHeight="1" s="26">
      <c r="A23" s="28" t="inlineStr">
        <is>
          <t>FR-S07</t>
        </is>
      </c>
      <c r="B23" s="28" t="inlineStr">
        <is>
          <t>تفاصيل درس أونلاين</t>
        </is>
      </c>
      <c r="C23" s="50" t="inlineStr">
        <is>
          <t>جزئي</t>
        </is>
      </c>
      <c r="D23" s="28" t="inlineStr">
        <is>
          <t>قيد التنفيذ</t>
        </is>
      </c>
      <c r="E23" s="49" t="inlineStr">
        <is>
          <t>مدعوم بالكامل</t>
        </is>
      </c>
      <c r="F23" s="28" t="inlineStr">
        <is>
          <t>Student/GetLesson / Schedule</t>
        </is>
      </c>
      <c r="G23" s="28" t="inlineStr">
        <is>
          <t>StudentScheduleItemDto</t>
        </is>
      </c>
      <c r="H23" s="28" t="inlineStr">
        <is>
          <t>يدعم MeetingPlatform وMeetingUrl وCanJoin.</t>
        </is>
      </c>
      <c r="I23" s="28" t="inlineStr">
        <is>
          <t>WP-S5</t>
        </is>
      </c>
      <c r="J23" s="28" t="n">
        <v/>
      </c>
    </row>
    <row r="24" ht="42" customHeight="1" s="26">
      <c r="A24" s="28" t="inlineStr">
        <is>
          <t>FR-S08</t>
        </is>
      </c>
      <c r="B24" s="28" t="inlineStr">
        <is>
          <t>تفاصيل الكورس والدروس</t>
        </is>
      </c>
      <c r="C24" s="50" t="inlineStr">
        <is>
          <t>جزئي</t>
        </is>
      </c>
      <c r="D24" s="28" t="inlineStr">
        <is>
          <t>قيد التنفيذ</t>
        </is>
      </c>
      <c r="E24" s="49" t="inlineStr">
        <is>
          <t>مدعوم بالكامل</t>
        </is>
      </c>
      <c r="F24" s="28" t="inlineStr">
        <is>
          <t>Student/GetCourse</t>
        </is>
      </c>
      <c r="G24" s="28" t="inlineStr">
        <is>
          <t>StudentCourseDetailDto</t>
        </is>
      </c>
      <c r="H24" s="28" t="inlineStr">
        <is>
          <t>يعيد Groups وLessons وتفاصيل الكورس.</t>
        </is>
      </c>
      <c r="I24" s="28" t="inlineStr">
        <is>
          <t>WP-S6</t>
        </is>
      </c>
      <c r="J24" s="28" t="n">
        <v/>
      </c>
    </row>
    <row r="25" ht="42" customHeight="1" s="26">
      <c r="A25" s="28" t="inlineStr">
        <is>
          <t>FR-S09</t>
        </is>
      </c>
      <c r="B25" s="28" t="inlineStr">
        <is>
          <t>سجل حضور الطالب</t>
        </is>
      </c>
      <c r="C25" s="28" t="inlineStr">
        <is>
          <t>غير جاهز</t>
        </is>
      </c>
      <c r="D25" s="28" t="inlineStr">
        <is>
          <t>قيد التنفيذ</t>
        </is>
      </c>
      <c r="E25" s="49" t="inlineStr">
        <is>
          <t>مدعوم بالكامل</t>
        </is>
      </c>
      <c r="F25" s="28" t="inlineStr">
        <is>
          <t>Student/Attendance</t>
        </is>
      </c>
      <c r="G25" s="28" t="inlineStr">
        <is>
          <t>StudentAttendanceDto</t>
        </is>
      </c>
      <c r="H25" s="28" t="inlineStr">
        <is>
          <t>يعيد السجلات ونسبة الحضور والإحصاءات.</t>
        </is>
      </c>
      <c r="I25" s="28" t="inlineStr">
        <is>
          <t>WP-S7</t>
        </is>
      </c>
      <c r="J25" s="28" t="n">
        <v/>
      </c>
    </row>
    <row r="26" ht="42" customHeight="1" s="26">
      <c r="A26" s="28" t="inlineStr">
        <is>
          <t>FR-S10</t>
        </is>
      </c>
      <c r="B26" s="28" t="inlineStr">
        <is>
          <t>نتائج الامتحانات (طالب)</t>
        </is>
      </c>
      <c r="C26" s="28" t="inlineStr">
        <is>
          <t>غير جاهز</t>
        </is>
      </c>
      <c r="D26" s="28" t="inlineStr">
        <is>
          <t>قيد التنفيذ</t>
        </is>
      </c>
      <c r="E26" s="49" t="inlineStr">
        <is>
          <t>مدعوم بالكامل</t>
        </is>
      </c>
      <c r="F26" s="28" t="inlineStr">
        <is>
          <t>Student/ExamResults</t>
        </is>
      </c>
      <c r="G26" s="28" t="inlineStr">
        <is>
          <t>StudentExamResultDto</t>
        </is>
      </c>
      <c r="H26" s="28" t="inlineStr">
        <is>
          <t>يعيد الدرجة والإجمالي والنسبة والتغذية الراجعة.</t>
        </is>
      </c>
      <c r="I26" s="28" t="inlineStr">
        <is>
          <t>WP-S8</t>
        </is>
      </c>
      <c r="J26" s="28" t="n">
        <v/>
      </c>
    </row>
    <row r="27" ht="42" customHeight="1" s="26">
      <c r="A27" s="28" t="inlineStr">
        <is>
          <t>FR-S11</t>
        </is>
      </c>
      <c r="B27" s="28" t="inlineStr">
        <is>
          <t>التقدم الأكاديمي</t>
        </is>
      </c>
      <c r="C27" s="28" t="inlineStr">
        <is>
          <t>غير جاهز</t>
        </is>
      </c>
      <c r="D27" s="28" t="inlineStr">
        <is>
          <t>قيد التنفيذ</t>
        </is>
      </c>
      <c r="E27" s="49" t="inlineStr">
        <is>
          <t>مدعوم بالكامل</t>
        </is>
      </c>
      <c r="F27" s="28" t="inlineStr">
        <is>
          <t>Student/Progress</t>
        </is>
      </c>
      <c r="G27" s="28" t="inlineStr">
        <is>
          <t>StudentProgressDto</t>
        </is>
      </c>
      <c r="H27" s="28" t="inlineStr">
        <is>
          <t>يعيد AttendanceRatePercent وAverageExamScorePercent وعدد الجلسات/الامتحانات.</t>
        </is>
      </c>
      <c r="I27" s="28" t="inlineStr">
        <is>
          <t>WP-S9</t>
        </is>
      </c>
      <c r="J27" s="28" t="n">
        <v/>
      </c>
    </row>
    <row r="28" ht="42" customHeight="1" s="26">
      <c r="A28" s="28" t="inlineStr">
        <is>
          <t>FR-S12</t>
        </is>
      </c>
      <c r="B28" s="28" t="inlineStr">
        <is>
          <t>إشعارات الطالب</t>
        </is>
      </c>
      <c r="C28" s="28" t="inlineStr">
        <is>
          <t>جاهز</t>
        </is>
      </c>
      <c r="D28" s="28" t="inlineStr">
        <is>
          <t>جاهز (أصلي)</t>
        </is>
      </c>
      <c r="E28" s="49" t="inlineStr">
        <is>
          <t>مدعوم بالكامل</t>
        </is>
      </c>
      <c r="F28" s="28" t="inlineStr">
        <is>
          <t>Student/Notifications + MarkNotificationRead</t>
        </is>
      </c>
      <c r="G28" s="28" t="inlineStr">
        <is>
          <t>StudentController</t>
        </is>
      </c>
      <c r="H28" s="28" t="inlineStr">
        <is>
          <t>قائمة إشعارات + تعليم كمقروء.</t>
        </is>
      </c>
      <c r="I28" s="28" t="inlineStr">
        <is>
          <t>—</t>
        </is>
      </c>
      <c r="J28" s="28" t="n">
        <v/>
      </c>
    </row>
    <row r="29" ht="42" customHeight="1" s="26">
      <c r="A29" s="28" t="inlineStr">
        <is>
          <t>FR-S13</t>
        </is>
      </c>
      <c r="B29" s="28" t="inlineStr">
        <is>
          <t>معلومات محفظة الطالب</t>
        </is>
      </c>
      <c r="C29" s="28" t="inlineStr">
        <is>
          <t>جاهز</t>
        </is>
      </c>
      <c r="D29" s="28" t="inlineStr">
        <is>
          <t>جاهز (أصلي)</t>
        </is>
      </c>
      <c r="E29" s="49" t="inlineStr">
        <is>
          <t>مدعوم بالكامل</t>
        </is>
      </c>
      <c r="F29" s="28" t="inlineStr">
        <is>
          <t>Student/BookingPayment + Wallet/*</t>
        </is>
      </c>
      <c r="G29" s="28" t="inlineStr">
        <is>
          <t>BookingPaymentDto / WalletController</t>
        </is>
      </c>
      <c r="H29" s="28" t="inlineStr">
        <is>
          <t>يوفر حالة الدفع والرصيد وكفاية الرصيد، إضافة للمحفظة والمعاملات.</t>
        </is>
      </c>
      <c r="I29" s="28" t="inlineStr">
        <is>
          <t>—</t>
        </is>
      </c>
      <c r="J29" s="28" t="n">
        <v/>
      </c>
    </row>
    <row r="30" ht="42" customHeight="1" s="26">
      <c r="A30" s="28" t="inlineStr">
        <is>
          <t>FR-S14</t>
        </is>
      </c>
      <c r="B30" s="28" t="inlineStr">
        <is>
          <t>إلغاء حجز الطالب</t>
        </is>
      </c>
      <c r="C30" s="28" t="inlineStr">
        <is>
          <t>غير جاهز</t>
        </is>
      </c>
      <c r="D30" s="28" t="inlineStr">
        <is>
          <t>قيد التنفيذ</t>
        </is>
      </c>
      <c r="E30" s="49" t="inlineStr">
        <is>
          <t>مدعوم بالكامل</t>
        </is>
      </c>
      <c r="F30" s="28" t="inlineStr">
        <is>
          <t>Student/CancelBooking</t>
        </is>
      </c>
      <c r="G30" s="28" t="inlineStr">
        <is>
          <t>BookingService.CancelBookingAsync</t>
        </is>
      </c>
      <c r="H30" s="28" t="inlineStr">
        <is>
          <t>يدعم الإلغاء والاسترجاع للحجز المدفوع وفق مهلة 24 ساعة للطالب.</t>
        </is>
      </c>
      <c r="I30" s="28" t="inlineStr">
        <is>
          <t>WP-S2</t>
        </is>
      </c>
      <c r="J30" s="28" t="n">
        <v/>
      </c>
    </row>
    <row r="31" ht="42" customHeight="1" s="26">
      <c r="A31" s="28" t="inlineStr">
        <is>
          <t>FR-S15</t>
        </is>
      </c>
      <c r="B31" s="28" t="inlineStr">
        <is>
          <t>طلب إعادة جدولة</t>
        </is>
      </c>
      <c r="C31" s="28" t="inlineStr">
        <is>
          <t>غير جاهز</t>
        </is>
      </c>
      <c r="D31" s="28" t="inlineStr">
        <is>
          <t>قيد التنفيذ</t>
        </is>
      </c>
      <c r="E31" s="49" t="inlineStr">
        <is>
          <t>مدعوم بالكامل</t>
        </is>
      </c>
      <c r="F31" s="28" t="inlineStr">
        <is>
          <t>Student/RequestReschedule + MyRescheduleRequests</t>
        </is>
      </c>
      <c r="G31" s="28" t="inlineStr">
        <is>
          <t>BookingService.RequestRescheduleAsync</t>
        </is>
      </c>
      <c r="H31" s="28" t="inlineStr">
        <is>
          <t>يدعم طلب إعادة الجدولة للحجز المؤكد قبل بدايته ومنع التعارض.</t>
        </is>
      </c>
      <c r="I31" s="28" t="inlineStr">
        <is>
          <t>WP-S3, WP-T5</t>
        </is>
      </c>
      <c r="J31" s="28" t="n">
        <v/>
      </c>
    </row>
    <row r="32" ht="42" customHeight="1" s="26">
      <c r="A32" s="28" t="inlineStr">
        <is>
          <t>FR-I01</t>
        </is>
      </c>
      <c r="B32" s="28" t="inlineStr">
        <is>
          <t>إنشاء كورس حضوري</t>
        </is>
      </c>
      <c r="C32" s="28" t="inlineStr">
        <is>
          <t>غير مغطى بالتقرير</t>
        </is>
      </c>
      <c r="D32" s="28" t="inlineStr">
        <is>
          <t>قيد التنفيذ</t>
        </is>
      </c>
      <c r="E32" s="49" t="inlineStr">
        <is>
          <t>مدعوم بالكامل</t>
        </is>
      </c>
      <c r="F32" s="28" t="inlineStr">
        <is>
          <t>Course/CreateEdit</t>
        </is>
      </c>
      <c r="G32" s="28" t="inlineStr">
        <is>
          <t>CourseService.CreateEditAsync</t>
        </is>
      </c>
      <c r="H32" s="28" t="inlineStr">
        <is>
          <t>ينشئ الكورس وينشئ Group مرتبطة به في نفس المسار.</t>
        </is>
      </c>
      <c r="I32" s="28" t="inlineStr">
        <is>
          <t>WP-T1</t>
        </is>
      </c>
      <c r="J32" s="28" t="n">
        <v/>
      </c>
    </row>
    <row r="33" ht="42" customHeight="1" s="26">
      <c r="A33" s="28" t="inlineStr">
        <is>
          <t>FR-I05</t>
        </is>
      </c>
      <c r="B33" s="28" t="inlineStr">
        <is>
          <t>إنشاء كورس أونلاين</t>
        </is>
      </c>
      <c r="C33" s="28" t="inlineStr">
        <is>
          <t>غير مغطى بالتقرير</t>
        </is>
      </c>
      <c r="D33" s="28" t="inlineStr">
        <is>
          <t>لم يبدأ</t>
        </is>
      </c>
      <c r="E33" s="49" t="inlineStr">
        <is>
          <t>مدعوم بالكامل</t>
        </is>
      </c>
      <c r="F33" s="28" t="inlineStr">
        <is>
          <t>Course/CreateEdit</t>
        </is>
      </c>
      <c r="G33" s="28" t="inlineStr">
        <is>
          <t>CourseInputDto</t>
        </is>
      </c>
      <c r="H33" s="28" t="inlineStr">
        <is>
          <t>DeliveryType يحدد Online/InPerson.</t>
        </is>
      </c>
      <c r="I33" s="28" t="inlineStr">
        <is>
          <t>WP-T1</t>
        </is>
      </c>
      <c r="J33" s="28" t="n">
        <v/>
      </c>
    </row>
    <row r="34" ht="42" customHeight="1" s="26">
      <c r="A34" s="28" t="inlineStr">
        <is>
          <t>FR-I07</t>
        </is>
      </c>
      <c r="B34" s="28" t="inlineStr">
        <is>
          <t>ضبط منصة الاجتماع</t>
        </is>
      </c>
      <c r="C34" s="28" t="inlineStr">
        <is>
          <t>غير مغطى بالتقرير</t>
        </is>
      </c>
      <c r="D34" s="28" t="inlineStr">
        <is>
          <t>لم يبدأ</t>
        </is>
      </c>
      <c r="E34" s="49" t="inlineStr">
        <is>
          <t>مدعوم بالكامل</t>
        </is>
      </c>
      <c r="F34" s="28" t="inlineStr">
        <is>
          <t>Lesson/Create + ConfigureMeeting</t>
        </is>
      </c>
      <c r="G34" s="28" t="inlineStr">
        <is>
          <t>LessonInputDto/MeetingConfigInputDto</t>
        </is>
      </c>
      <c r="H34" s="28" t="inlineStr">
        <is>
          <t>MeetingPlatform وMeetingUrl مطلوبان لمسار ConfigureMeeting.</t>
        </is>
      </c>
      <c r="I34" s="28" t="inlineStr">
        <is>
          <t>WP-T4</t>
        </is>
      </c>
      <c r="J34" s="28" t="n">
        <v/>
      </c>
    </row>
    <row r="35" ht="42" customHeight="1" s="26">
      <c r="A35" s="28" t="inlineStr">
        <is>
          <t>FR-I09</t>
        </is>
      </c>
      <c r="B35" s="28" t="inlineStr">
        <is>
          <t>عرض جدول الكورس (معلم)</t>
        </is>
      </c>
      <c r="C35" s="28" t="inlineStr">
        <is>
          <t>غير مغطى بالتقرير</t>
        </is>
      </c>
      <c r="D35" s="28" t="inlineStr">
        <is>
          <t>لم يبدأ</t>
        </is>
      </c>
      <c r="E35" s="49" t="inlineStr">
        <is>
          <t>مدعوم بالكامل</t>
        </is>
      </c>
      <c r="F35" s="28" t="inlineStr">
        <is>
          <t>Lesson/GetSchedule</t>
        </is>
      </c>
      <c r="G35" s="28" t="inlineStr">
        <is>
          <t>LessonController.GetSchedule</t>
        </is>
      </c>
      <c r="H35" s="28" t="inlineStr">
        <is>
          <t>يوجد endpoint لجدول الدروس حسب courseId/groupId.</t>
        </is>
      </c>
      <c r="I35" s="28" t="inlineStr">
        <is>
          <t>WP-T4</t>
        </is>
      </c>
      <c r="J35" s="28" t="n">
        <v/>
      </c>
    </row>
    <row r="36" ht="42" customHeight="1" s="26">
      <c r="A36" s="28" t="inlineStr">
        <is>
          <t>FR-I10</t>
        </is>
      </c>
      <c r="B36" s="28" t="inlineStr">
        <is>
          <t>تعديل درس مجدول</t>
        </is>
      </c>
      <c r="C36" s="28" t="inlineStr">
        <is>
          <t>غير مغطى بالتقرير</t>
        </is>
      </c>
      <c r="D36" s="28" t="inlineStr">
        <is>
          <t>قيد التنفيذ</t>
        </is>
      </c>
      <c r="E36" s="49" t="inlineStr">
        <is>
          <t>مدعوم بالكامل</t>
        </is>
      </c>
      <c r="F36" s="28" t="inlineStr">
        <is>
          <t>Lesson/Update</t>
        </is>
      </c>
      <c r="G36" s="28" t="inlineStr">
        <is>
          <t>LessonController.Update</t>
        </is>
      </c>
      <c r="H36" s="28" t="inlineStr">
        <is>
          <t>يطبق ownership على الدرس.</t>
        </is>
      </c>
      <c r="I36" s="28" t="inlineStr">
        <is>
          <t>WP-T4</t>
        </is>
      </c>
      <c r="J36" s="28" t="n">
        <v/>
      </c>
    </row>
    <row r="37" ht="42" customHeight="1" s="26">
      <c r="A37" s="28" t="inlineStr">
        <is>
          <t>FR-I11</t>
        </is>
      </c>
      <c r="B37" s="28" t="inlineStr">
        <is>
          <t>إلغاء درس مجدول</t>
        </is>
      </c>
      <c r="C37" s="28" t="inlineStr">
        <is>
          <t>غير مغطى بالتقرير</t>
        </is>
      </c>
      <c r="D37" s="28" t="inlineStr">
        <is>
          <t>قيد التنفيذ</t>
        </is>
      </c>
      <c r="E37" s="49" t="inlineStr">
        <is>
          <t>مدعوم بالكامل</t>
        </is>
      </c>
      <c r="F37" s="28" t="inlineStr">
        <is>
          <t>Lesson/Cancel</t>
        </is>
      </c>
      <c r="G37" s="28" t="inlineStr">
        <is>
          <t>LessonController.Cancel</t>
        </is>
      </c>
      <c r="H37" s="28" t="inlineStr">
        <is>
          <t>يطبق ownership ويعيد OperationResult.</t>
        </is>
      </c>
      <c r="I37" s="28" t="inlineStr">
        <is>
          <t>WP-T4</t>
        </is>
      </c>
      <c r="J37" s="28" t="n">
        <v/>
      </c>
    </row>
    <row r="38" ht="42" customHeight="1" s="26">
      <c r="A38" s="28" t="inlineStr">
        <is>
          <t>FR-T10</t>
        </is>
      </c>
      <c r="B38" s="28" t="inlineStr">
        <is>
          <t>إدارة طلبات الحجز (معلم)</t>
        </is>
      </c>
      <c r="C38" s="28" t="inlineStr">
        <is>
          <t>غير مغطى بالتقرير</t>
        </is>
      </c>
      <c r="D38" s="28" t="inlineStr">
        <is>
          <t>قيد التنفيذ</t>
        </is>
      </c>
      <c r="E38" s="49" t="inlineStr">
        <is>
          <t>مدعوم بالكامل</t>
        </is>
      </c>
      <c r="F38" s="28" t="inlineStr">
        <is>
          <t>Booking/TeacherBookings + Decide</t>
        </is>
      </c>
      <c r="G38" s="28" t="inlineStr">
        <is>
          <t>BookingService.GetTeacherBookingsAsync / DecideBookingAsync</t>
        </is>
      </c>
      <c r="H38" s="28" t="inlineStr">
        <is>
          <t>فلترة بالحالة والتحقق من ملكية المعلم.</t>
        </is>
      </c>
      <c r="I38" s="28" t="inlineStr">
        <is>
          <t>WP-T5</t>
        </is>
      </c>
      <c r="J38" s="28" t="n">
        <v/>
      </c>
    </row>
  </sheetData>
  <autoFilter ref="A1:J3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6" customWidth="1" style="26" min="1" max="1"/>
    <col width="15" customWidth="1" style="26" min="2" max="2"/>
    <col width="10" customWidth="1" style="26" min="3" max="3"/>
    <col width="40" customWidth="1" style="26" min="4" max="4"/>
    <col width="65" customWidth="1" style="26" min="5" max="5"/>
    <col width="28" customWidth="1" style="26" min="6" max="6"/>
    <col width="28" customWidth="1" style="26" min="7" max="7"/>
    <col width="28" customWidth="1" style="26" min="8" max="8"/>
    <col width="20" customWidth="1" style="26" min="9" max="9"/>
    <col width="18" customWidth="1" style="26" min="10" max="10"/>
    <col width="16" customWidth="1" style="26" min="11" max="11"/>
    <col width="16" customWidth="1" style="26" min="12" max="12"/>
    <col width="24" customWidth="1" style="26" min="13" max="13"/>
    <col width="45" customWidth="1" style="26" min="14" max="14"/>
    <col width="70" customWidth="1" style="26" min="15" max="15"/>
    <col width="55" customWidth="1" style="26" min="16" max="16"/>
  </cols>
  <sheetData>
    <row r="1" ht="42" customHeight="1" s="26">
      <c r="A1" s="48" t="inlineStr">
        <is>
          <t>#</t>
        </is>
      </c>
      <c r="B1" s="48" t="inlineStr">
        <is>
          <t>Controller</t>
        </is>
      </c>
      <c r="C1" s="48" t="inlineStr">
        <is>
          <t>Method</t>
        </is>
      </c>
      <c r="D1" s="48" t="inlineStr">
        <is>
          <t>Path</t>
        </is>
      </c>
      <c r="E1" s="48" t="inlineStr">
        <is>
          <t>Request/Body من Excel</t>
        </is>
      </c>
      <c r="F1" s="48" t="inlineStr">
        <is>
          <t>Swagger Response</t>
        </is>
      </c>
      <c r="G1" s="48" t="inlineStr">
        <is>
          <t>FE Function</t>
        </is>
      </c>
      <c r="H1" s="48" t="inlineStr">
        <is>
          <t>FE File</t>
        </is>
      </c>
      <c r="I1" s="48" t="inlineStr">
        <is>
          <t>Excel Link Status</t>
        </is>
      </c>
      <c r="J1" s="48" t="inlineStr">
        <is>
          <t>WP</t>
        </is>
      </c>
      <c r="K1" s="48" t="inlineStr">
        <is>
          <t>JSON Required?</t>
        </is>
      </c>
      <c r="L1" s="48" t="inlineStr">
        <is>
          <t>Sample Received?</t>
        </is>
      </c>
      <c r="M1" s="48" t="inlineStr">
        <is>
          <t>حكم Backend</t>
        </is>
      </c>
      <c r="N1" s="48" t="inlineStr">
        <is>
          <t>دليل الكود</t>
        </is>
      </c>
      <c r="O1" s="48" t="inlineStr">
        <is>
          <t>تفصيل/ملاحظة</t>
        </is>
      </c>
      <c r="P1" s="48" t="inlineStr">
        <is>
          <t>ملاحظات Excel</t>
        </is>
      </c>
    </row>
    <row r="2" ht="42" customHeight="1" s="26">
      <c r="A2" s="28" t="n">
        <v>1</v>
      </c>
      <c r="B2" s="28" t="inlineStr">
        <is>
          <t>Booking</t>
        </is>
      </c>
      <c r="C2" s="28" t="inlineStr">
        <is>
          <t>POST</t>
        </is>
      </c>
      <c r="D2" s="28" t="inlineStr">
        <is>
          <t>/api/Booking/Submit</t>
        </is>
      </c>
      <c r="E2" s="28" t="inlineStr">
        <is>
          <t>body: teacherId, subjectId, gradeId, teachingMode, date, startTime, durationMinutes, studentNote</t>
        </is>
      </c>
      <c r="F2" s="28" t="inlineStr">
        <is>
          <t>OperationResult</t>
        </is>
      </c>
      <c r="G2" s="28" t="inlineStr">
        <is>
          <t>submitBooking</t>
        </is>
      </c>
      <c r="H2" s="28" t="inlineStr">
        <is>
          <t>bookings.ts</t>
        </is>
      </c>
      <c r="I2" s="28" t="inlineStr">
        <is>
          <t>needs correction in FE</t>
        </is>
      </c>
      <c r="J2" s="28" t="inlineStr">
        <is>
          <t>WP-S1</t>
        </is>
      </c>
      <c r="K2" s="28" t="inlineStr">
        <is>
          <t>لا</t>
        </is>
      </c>
      <c r="L2" s="28" t="inlineStr">
        <is>
          <t>—</t>
        </is>
      </c>
      <c r="M2" s="49" t="inlineStr">
        <is>
          <t>موجود ومطابق</t>
        </is>
      </c>
      <c r="N2" s="28" t="inlineStr">
        <is>
          <t>BookingController.Submit + BookingInputDto</t>
        </is>
      </c>
      <c r="O2" s="28" t="inlineStr">
        <is>
          <t>OperationResult + ReturnId booking.Id</t>
        </is>
      </c>
      <c r="P2" s="28" t="inlineStr">
        <is>
          <t>الـFrontend القديم كان يستخدم courseId/BookingRow؛ الـBackend الحالي يستخدم subjectId/gradeId/teachingMode ويرجع ReturnId.</t>
        </is>
      </c>
    </row>
    <row r="3" ht="42" customHeight="1" s="26">
      <c r="A3" s="28" t="n">
        <v>2</v>
      </c>
      <c r="B3" s="28" t="inlineStr">
        <is>
          <t>Booking</t>
        </is>
      </c>
      <c r="C3" s="28" t="inlineStr">
        <is>
          <t>POST</t>
        </is>
      </c>
      <c r="D3" s="28" t="inlineStr">
        <is>
          <t>/api/Booking/Decide</t>
        </is>
      </c>
      <c r="E3" s="28" t="inlineStr">
        <is>
          <t>body: bookingId, accept, rejectionReason</t>
        </is>
      </c>
      <c r="F3" s="28" t="inlineStr">
        <is>
          <t>OperationResult</t>
        </is>
      </c>
      <c r="G3" s="28" t="inlineStr">
        <is>
          <t>decideBooking</t>
        </is>
      </c>
      <c r="H3" s="28" t="inlineStr">
        <is>
          <t>bookings.ts</t>
        </is>
      </c>
      <c r="I3" s="28" t="inlineStr">
        <is>
          <t>يحتاج تصحيح</t>
        </is>
      </c>
      <c r="J3" s="28" t="inlineStr">
        <is>
          <t>WP-T5</t>
        </is>
      </c>
      <c r="K3" s="28" t="inlineStr">
        <is>
          <t>لا</t>
        </is>
      </c>
      <c r="L3" s="28" t="inlineStr">
        <is>
          <t>—</t>
        </is>
      </c>
      <c r="M3" s="49" t="inlineStr">
        <is>
          <t>موجود ومطابق</t>
        </is>
      </c>
      <c r="N3" s="28" t="inlineStr">
        <is>
          <t>BookingController.Decide + BookingDecisionDto</t>
        </is>
      </c>
      <c r="O3" s="28" t="inlineStr">
        <is>
          <t>Accept وليس approve</t>
        </is>
      </c>
      <c r="P3" s="28" t="inlineStr">
        <is>
          <t>الكود يرسل approve بدل accept</t>
        </is>
      </c>
    </row>
    <row r="4" ht="42" customHeight="1" s="26">
      <c r="A4" s="28" t="n">
        <v>3</v>
      </c>
      <c r="B4" s="28" t="inlineStr">
        <is>
          <t>Booking</t>
        </is>
      </c>
      <c r="C4" s="28" t="inlineStr">
        <is>
          <t>POST</t>
        </is>
      </c>
      <c r="D4" s="28" t="inlineStr">
        <is>
          <t>/api/Booking/Cancel</t>
        </is>
      </c>
      <c r="E4" s="28" t="inlineStr">
        <is>
          <t>query: bookingId, reason</t>
        </is>
      </c>
      <c r="F4" s="28" t="inlineStr">
        <is>
          <t>OperationResult</t>
        </is>
      </c>
      <c r="G4" s="28" t="inlineStr">
        <is>
          <t>cancelBooking</t>
        </is>
      </c>
      <c r="H4" s="28" t="inlineStr">
        <is>
          <t>bookings.ts</t>
        </is>
      </c>
      <c r="I4" s="28" t="inlineStr">
        <is>
          <t>يحتاج تصحيح</t>
        </is>
      </c>
      <c r="J4" s="28" t="inlineStr">
        <is>
          <t>(بديل)</t>
        </is>
      </c>
      <c r="K4" s="28" t="inlineStr">
        <is>
          <t>لا</t>
        </is>
      </c>
      <c r="L4" s="28" t="inlineStr">
        <is>
          <t>—</t>
        </is>
      </c>
      <c r="M4" s="49" t="inlineStr">
        <is>
          <t>موجود ومطابق</t>
        </is>
      </c>
      <c r="N4" s="28" t="inlineStr">
        <is>
          <t>BookingController.Cancel + CancelBookingAsync</t>
        </is>
      </c>
      <c r="O4" s="28" t="inlineStr">
        <is>
          <t>bookingId/reason، وStudent/CancelBooking أيضًا موجود</t>
        </is>
      </c>
      <c r="P4" s="28" t="inlineStr">
        <is>
          <t>الطالب يفضّل Student/CancelBooking</t>
        </is>
      </c>
    </row>
    <row r="5" ht="42" customHeight="1" s="26">
      <c r="A5" s="28" t="n">
        <v>4</v>
      </c>
      <c r="B5" s="28" t="inlineStr">
        <is>
          <t>Booking</t>
        </is>
      </c>
      <c r="C5" s="28" t="inlineStr">
        <is>
          <t>POST</t>
        </is>
      </c>
      <c r="D5" s="28" t="inlineStr">
        <is>
          <t>/api/Booking/Complete</t>
        </is>
      </c>
      <c r="E5" s="28" t="inlineStr">
        <is>
          <t>query: bookingId</t>
        </is>
      </c>
      <c r="F5" s="28" t="inlineStr">
        <is>
          <t>OperationResult</t>
        </is>
      </c>
      <c r="G5" s="28" t="inlineStr">
        <is>
          <t>completeBooking</t>
        </is>
      </c>
      <c r="H5" s="28" t="inlineStr">
        <is>
          <t>bookings.ts</t>
        </is>
      </c>
      <c r="I5" s="28" t="inlineStr">
        <is>
          <t>يحتاج تصحيح</t>
        </is>
      </c>
      <c r="J5" s="28" t="inlineStr">
        <is>
          <t>WP-T5</t>
        </is>
      </c>
      <c r="K5" s="28" t="inlineStr">
        <is>
          <t>لا</t>
        </is>
      </c>
      <c r="L5" s="28" t="inlineStr">
        <is>
          <t>—</t>
        </is>
      </c>
      <c r="M5" s="49" t="inlineStr">
        <is>
          <t>موجود ومطابق</t>
        </is>
      </c>
      <c r="N5" s="28" t="inlineStr">
        <is>
          <t>BookingController.Complete</t>
        </is>
      </c>
      <c r="O5" s="28" t="inlineStr">
        <is>
          <t>OperationResult</t>
        </is>
      </c>
      <c r="P5" s="28" t="n">
        <v/>
      </c>
    </row>
    <row r="6" ht="42" customHeight="1" s="26">
      <c r="A6" s="28" t="n">
        <v>5</v>
      </c>
      <c r="B6" s="28" t="inlineStr">
        <is>
          <t>Booking</t>
        </is>
      </c>
      <c r="C6" s="28" t="inlineStr">
        <is>
          <t>POST</t>
        </is>
      </c>
      <c r="D6" s="28" t="inlineStr">
        <is>
          <t>/api/Booking/Rate</t>
        </is>
      </c>
      <c r="E6" s="28" t="inlineStr">
        <is>
          <t>body: bookingId, ratingValue, review</t>
        </is>
      </c>
      <c r="F6" s="28" t="inlineStr">
        <is>
          <t>OperationResult</t>
        </is>
      </c>
      <c r="G6" s="28" t="inlineStr">
        <is>
          <t>rateBooking</t>
        </is>
      </c>
      <c r="H6" s="28" t="inlineStr">
        <is>
          <t>bookings.ts</t>
        </is>
      </c>
      <c r="I6" s="28" t="inlineStr">
        <is>
          <t>يحتاج تصحيح</t>
        </is>
      </c>
      <c r="J6" s="28" t="inlineStr">
        <is>
          <t>WP-S4</t>
        </is>
      </c>
      <c r="K6" s="28" t="inlineStr">
        <is>
          <t>لا</t>
        </is>
      </c>
      <c r="L6" s="28" t="inlineStr">
        <is>
          <t>—</t>
        </is>
      </c>
      <c r="M6" s="49" t="inlineStr">
        <is>
          <t>موجود ومطابق</t>
        </is>
      </c>
      <c r="N6" s="28" t="inlineStr">
        <is>
          <t>BookingController.Rate + RateTeacherDto</t>
        </is>
      </c>
      <c r="O6" s="28" t="inlineStr">
        <is>
          <t>RatingValue/Review</t>
        </is>
      </c>
      <c r="P6" s="28" t="inlineStr">
        <is>
          <t>الكود يرسل rating/comment</t>
        </is>
      </c>
    </row>
    <row r="7" ht="42" customHeight="1" s="26">
      <c r="A7" s="28" t="n">
        <v>6</v>
      </c>
      <c r="B7" s="28" t="inlineStr">
        <is>
          <t>Booking</t>
        </is>
      </c>
      <c r="C7" s="28" t="inlineStr">
        <is>
          <t>GET</t>
        </is>
      </c>
      <c r="D7" s="28" t="inlineStr">
        <is>
          <t>/api/Booking/MyBookings</t>
        </is>
      </c>
      <c r="E7" s="28" t="inlineStr">
        <is>
          <t>—</t>
        </is>
      </c>
      <c r="F7" s="28" t="inlineStr">
        <is>
          <t>غير موثّق</t>
        </is>
      </c>
      <c r="G7" s="28" t="inlineStr">
        <is>
          <t>listMyBookings</t>
        </is>
      </c>
      <c r="H7" s="28" t="inlineStr">
        <is>
          <t>bookings.ts</t>
        </is>
      </c>
      <c r="I7" s="50" t="inlineStr">
        <is>
          <t>يحتاج تحقق</t>
        </is>
      </c>
      <c r="J7" s="28" t="inlineStr">
        <is>
          <t>—</t>
        </is>
      </c>
      <c r="K7" s="28" t="inlineStr">
        <is>
          <t>لا</t>
        </is>
      </c>
      <c r="L7" s="28" t="inlineStr">
        <is>
          <t>—</t>
        </is>
      </c>
      <c r="M7" s="28" t="inlineStr">
        <is>
          <t>موجود لكن schema معروف من DTO</t>
        </is>
      </c>
      <c r="N7" s="28" t="inlineStr">
        <is>
          <t>BookingController.MyBookings</t>
        </is>
      </c>
      <c r="O7" s="28" t="inlineStr">
        <is>
          <t>List&lt;BookingDto&gt;</t>
        </is>
      </c>
      <c r="P7" s="28" t="inlineStr">
        <is>
          <t>لا تستخدمه أي مهمة بالخطة (الطالب يستخدم Student/MyBookings)؛ لا عينة مطلوبة</t>
        </is>
      </c>
    </row>
    <row r="8" ht="42" customHeight="1" s="26">
      <c r="A8" s="28" t="n">
        <v>7</v>
      </c>
      <c r="B8" s="28" t="inlineStr">
        <is>
          <t>Booking</t>
        </is>
      </c>
      <c r="C8" s="28" t="inlineStr">
        <is>
          <t>GET</t>
        </is>
      </c>
      <c r="D8" s="28" t="inlineStr">
        <is>
          <t>/api/Booking/TeacherBookings</t>
        </is>
      </c>
      <c r="E8" s="28" t="inlineStr">
        <is>
          <t>query: status(1..6)</t>
        </is>
      </c>
      <c r="F8" s="28" t="inlineStr">
        <is>
          <t>غير موثّق</t>
        </is>
      </c>
      <c r="G8" s="28" t="inlineStr">
        <is>
          <t>listTeacherBookings</t>
        </is>
      </c>
      <c r="H8" s="28" t="inlineStr">
        <is>
          <t>bookings.ts</t>
        </is>
      </c>
      <c r="I8" s="28" t="inlineStr">
        <is>
          <t>يحتاج تصحيح</t>
        </is>
      </c>
      <c r="J8" s="28" t="inlineStr">
        <is>
          <t>WP-T5</t>
        </is>
      </c>
      <c r="K8" s="28" t="inlineStr">
        <is>
          <t>نعم</t>
        </is>
      </c>
      <c r="L8" s="28" t="inlineStr">
        <is>
          <t>لا</t>
        </is>
      </c>
      <c r="M8" s="49" t="inlineStr">
        <is>
          <t>موجود ومطابق</t>
        </is>
      </c>
      <c r="N8" s="28" t="inlineStr">
        <is>
          <t>BookingController.TeacherBookings</t>
        </is>
      </c>
      <c r="O8" s="28" t="inlineStr">
        <is>
          <t>BookingStatus? رقمي/enum</t>
        </is>
      </c>
      <c r="P8" s="28" t="inlineStr">
        <is>
          <t>الكود يرسل اسم الحالة نصًا؛ المطلوب رقم</t>
        </is>
      </c>
    </row>
    <row r="9" ht="42" customHeight="1" s="26">
      <c r="A9" s="28" t="n">
        <v>8</v>
      </c>
      <c r="B9" s="28" t="inlineStr">
        <is>
          <t>Booking</t>
        </is>
      </c>
      <c r="C9" s="28" t="inlineStr">
        <is>
          <t>GET</t>
        </is>
      </c>
      <c r="D9" s="28" t="inlineStr">
        <is>
          <t>/api/Booking/TeacherRescheduleRequests</t>
        </is>
      </c>
      <c r="E9" s="28" t="inlineStr">
        <is>
          <t>query: status(1..4)</t>
        </is>
      </c>
      <c r="F9" s="28" t="inlineStr">
        <is>
          <t>غير موثّق</t>
        </is>
      </c>
      <c r="G9" s="28" t="inlineStr">
        <is>
          <t>—</t>
        </is>
      </c>
      <c r="H9" s="28" t="inlineStr">
        <is>
          <t>bookings.ts</t>
        </is>
      </c>
      <c r="I9" s="28" t="inlineStr">
        <is>
          <t>ناقص</t>
        </is>
      </c>
      <c r="J9" s="28" t="inlineStr">
        <is>
          <t>WP-T5</t>
        </is>
      </c>
      <c r="K9" s="28" t="inlineStr">
        <is>
          <t>نعم</t>
        </is>
      </c>
      <c r="L9" s="28" t="inlineStr">
        <is>
          <t>لا</t>
        </is>
      </c>
      <c r="M9" s="49" t="inlineStr">
        <is>
          <t>موجود ومطابق</t>
        </is>
      </c>
      <c r="N9" s="28" t="inlineStr">
        <is>
          <t>BookingController.TeacherRescheduleRequests</t>
        </is>
      </c>
      <c r="O9" s="28" t="inlineStr">
        <is>
          <t>RescheduleRequestStatus?</t>
        </is>
      </c>
      <c r="P9" s="28" t="inlineStr">
        <is>
          <t>أسماء الحالات 1..4 غير موثّقة</t>
        </is>
      </c>
    </row>
    <row r="10" ht="42" customHeight="1" s="26">
      <c r="A10" s="28" t="n">
        <v>9</v>
      </c>
      <c r="B10" s="28" t="inlineStr">
        <is>
          <t>Booking</t>
        </is>
      </c>
      <c r="C10" s="28" t="inlineStr">
        <is>
          <t>POST</t>
        </is>
      </c>
      <c r="D10" s="28" t="inlineStr">
        <is>
          <t>/api/Booking/DecideReschedule</t>
        </is>
      </c>
      <c r="E10" s="28" t="inlineStr">
        <is>
          <t>body: requestId, approve, rejectionReason</t>
        </is>
      </c>
      <c r="F10" s="28" t="inlineStr">
        <is>
          <t>OperationResult</t>
        </is>
      </c>
      <c r="G10" s="28" t="inlineStr">
        <is>
          <t>—</t>
        </is>
      </c>
      <c r="H10" s="28" t="inlineStr">
        <is>
          <t>bookings.ts</t>
        </is>
      </c>
      <c r="I10" s="28" t="inlineStr">
        <is>
          <t>ناقص</t>
        </is>
      </c>
      <c r="J10" s="28" t="inlineStr">
        <is>
          <t>WP-T5</t>
        </is>
      </c>
      <c r="K10" s="28" t="inlineStr">
        <is>
          <t>لا</t>
        </is>
      </c>
      <c r="L10" s="28" t="inlineStr">
        <is>
          <t>—</t>
        </is>
      </c>
      <c r="M10" s="49" t="inlineStr">
        <is>
          <t>موجود ومطابق</t>
        </is>
      </c>
      <c r="N10" s="28" t="inlineStr">
        <is>
          <t>BookingController.DecideReschedule</t>
        </is>
      </c>
      <c r="O10" s="28" t="inlineStr">
        <is>
          <t>RequestId/Approve/RejectionReason</t>
        </is>
      </c>
      <c r="P10" s="28" t="n">
        <v/>
      </c>
    </row>
    <row r="11" ht="42" customHeight="1" s="26">
      <c r="A11" s="28" t="n">
        <v>10</v>
      </c>
      <c r="B11" s="28" t="inlineStr">
        <is>
          <t>Course</t>
        </is>
      </c>
      <c r="C11" s="28" t="inlineStr">
        <is>
          <t>POST</t>
        </is>
      </c>
      <c r="D11" s="28" t="inlineStr">
        <is>
          <t>/api/Course/GetPublished</t>
        </is>
      </c>
      <c r="E11" s="28" t="inlineStr">
        <is>
          <t>body: DataTable (searchValue, sortColumn, sortColumnDirection, pageSize, skip)</t>
        </is>
      </c>
      <c r="F11" s="28" t="inlineStr">
        <is>
          <t>غير موثّق (مربوط سابقًا)</t>
        </is>
      </c>
      <c r="G11" s="28" t="inlineStr">
        <is>
          <t>listPublishedCoursesPage</t>
        </is>
      </c>
      <c r="H11" s="28" t="inlineStr">
        <is>
          <t>courses.ts</t>
        </is>
      </c>
      <c r="I11" s="28" t="inlineStr">
        <is>
          <t>جاهز</t>
        </is>
      </c>
      <c r="J11" s="28" t="inlineStr">
        <is>
          <t>(عام)</t>
        </is>
      </c>
      <c r="K11" s="28" t="inlineStr">
        <is>
          <t>لا</t>
        </is>
      </c>
      <c r="L11" s="28" t="inlineStr">
        <is>
          <t>—</t>
        </is>
      </c>
      <c r="M11" s="49" t="inlineStr">
        <is>
          <t>موجود ومطابق</t>
        </is>
      </c>
      <c r="N11" s="28" t="inlineStr">
        <is>
          <t>CourseController.GetPublished</t>
        </is>
      </c>
      <c r="O11" s="28" t="inlineStr">
        <is>
          <t>Paged wrapper recordsFiltered/TotalCount/Data</t>
        </is>
      </c>
      <c r="P11" s="28" t="n">
        <v/>
      </c>
    </row>
    <row r="12" ht="42" customHeight="1" s="26">
      <c r="A12" s="28" t="n">
        <v>11</v>
      </c>
      <c r="B12" s="28" t="inlineStr">
        <is>
          <t>Course</t>
        </is>
      </c>
      <c r="C12" s="28" t="inlineStr">
        <is>
          <t>POST</t>
        </is>
      </c>
      <c r="D12" s="28" t="inlineStr">
        <is>
          <t>/api/Course/GetAll</t>
        </is>
      </c>
      <c r="E12" s="28" t="inlineStr">
        <is>
          <t>body: DataTable</t>
        </is>
      </c>
      <c r="F12" s="28" t="inlineStr">
        <is>
          <t>غير موثّق</t>
        </is>
      </c>
      <c r="G12" s="28" t="inlineStr">
        <is>
          <t>listAllCoursesForAdmin</t>
        </is>
      </c>
      <c r="H12" s="28" t="inlineStr">
        <is>
          <t>courses.ts</t>
        </is>
      </c>
      <c r="I12" s="50" t="inlineStr">
        <is>
          <t>يحتاج تحقق</t>
        </is>
      </c>
      <c r="J12" s="28" t="inlineStr">
        <is>
          <t>WP-T1</t>
        </is>
      </c>
      <c r="K12" s="28" t="inlineStr">
        <is>
          <t>نعم</t>
        </is>
      </c>
      <c r="L12" s="28" t="inlineStr">
        <is>
          <t>لا</t>
        </is>
      </c>
      <c r="M12" s="49" t="inlineStr">
        <is>
          <t>موجود ومطابق</t>
        </is>
      </c>
      <c r="N12" s="28" t="inlineStr">
        <is>
          <t>CourseController.GetAll</t>
        </is>
      </c>
      <c r="O12" s="28" t="inlineStr">
        <is>
          <t>يفلتر للمعلم حسب Teacher.UserId</t>
        </is>
      </c>
      <c r="P12" s="28" t="inlineStr">
        <is>
          <t>هل يفلتر حسب المعلم؟ (Q-01)</t>
        </is>
      </c>
    </row>
    <row r="13" ht="42" customHeight="1" s="26">
      <c r="A13" s="28" t="n">
        <v>12</v>
      </c>
      <c r="B13" s="28" t="inlineStr">
        <is>
          <t>Course</t>
        </is>
      </c>
      <c r="C13" s="28" t="inlineStr">
        <is>
          <t>GET</t>
        </is>
      </c>
      <c r="D13" s="28" t="inlineStr">
        <is>
          <t>/api/Course/GetById</t>
        </is>
      </c>
      <c r="E13" s="28" t="inlineStr">
        <is>
          <t>query: id</t>
        </is>
      </c>
      <c r="F13" s="28" t="inlineStr">
        <is>
          <t>غير موثّق</t>
        </is>
      </c>
      <c r="G13" s="28" t="inlineStr">
        <is>
          <t>getPublishedCourse</t>
        </is>
      </c>
      <c r="H13" s="28" t="inlineStr">
        <is>
          <t>courses.ts</t>
        </is>
      </c>
      <c r="I13" s="28" t="inlineStr">
        <is>
          <t>جاهز</t>
        </is>
      </c>
      <c r="J13" s="28" t="inlineStr">
        <is>
          <t>(عام)</t>
        </is>
      </c>
      <c r="K13" s="28" t="inlineStr">
        <is>
          <t>لا</t>
        </is>
      </c>
      <c r="L13" s="28" t="inlineStr">
        <is>
          <t>—</t>
        </is>
      </c>
      <c r="M13" s="49" t="inlineStr">
        <is>
          <t>موجود ومطابق</t>
        </is>
      </c>
      <c r="N13" s="28" t="inlineStr">
        <is>
          <t>CourseController.GetById</t>
        </is>
      </c>
      <c r="O13" s="28" t="inlineStr">
        <is>
          <t>publishedOnly=true</t>
        </is>
      </c>
      <c r="P13" s="28" t="n">
        <v/>
      </c>
    </row>
    <row r="14" ht="42" customHeight="1" s="26">
      <c r="A14" s="28" t="n">
        <v>13</v>
      </c>
      <c r="B14" s="28" t="inlineStr">
        <is>
          <t>Course</t>
        </is>
      </c>
      <c r="C14" s="28" t="inlineStr">
        <is>
          <t>GET</t>
        </is>
      </c>
      <c r="D14" s="28" t="inlineStr">
        <is>
          <t>/api/Course/GetMineById</t>
        </is>
      </c>
      <c r="E14" s="28" t="inlineStr">
        <is>
          <t>query: id</t>
        </is>
      </c>
      <c r="F14" s="28" t="inlineStr">
        <is>
          <t>غير موثّق</t>
        </is>
      </c>
      <c r="G14" s="28" t="inlineStr">
        <is>
          <t>—</t>
        </is>
      </c>
      <c r="H14" s="28" t="inlineStr">
        <is>
          <t>courses.ts</t>
        </is>
      </c>
      <c r="I14" s="28" t="inlineStr">
        <is>
          <t>ناقص</t>
        </is>
      </c>
      <c r="J14" s="28" t="inlineStr">
        <is>
          <t>WP-T1, T2, T3, T4</t>
        </is>
      </c>
      <c r="K14" s="28" t="inlineStr">
        <is>
          <t>نعم</t>
        </is>
      </c>
      <c r="L14" s="28" t="inlineStr">
        <is>
          <t>لا</t>
        </is>
      </c>
      <c r="M14" s="28" t="inlineStr">
        <is>
          <t>موجود لكن لا يعيد groupId في CourseListItemDto</t>
        </is>
      </c>
      <c r="N14" s="28" t="inlineStr">
        <is>
          <t>CourseController.GetMineById + CourseService.Project</t>
        </is>
      </c>
      <c r="O14" s="28" t="inlineStr">
        <is>
          <t>يحتاج frontend إلى مصدر groupId آخر؛ Q-02</t>
        </is>
      </c>
      <c r="P14" s="28" t="inlineStr">
        <is>
          <t>هل يرجع المجموعات/groupId؟ (Q-02)</t>
        </is>
      </c>
    </row>
    <row r="15" ht="42" customHeight="1" s="26">
      <c r="A15" s="28" t="n">
        <v>14</v>
      </c>
      <c r="B15" s="28" t="inlineStr">
        <is>
          <t>Course</t>
        </is>
      </c>
      <c r="C15" s="28" t="inlineStr">
        <is>
          <t>GET</t>
        </is>
      </c>
      <c r="D15" s="28" t="inlineStr">
        <is>
          <t>/api/Course/GetGroupStudents</t>
        </is>
      </c>
      <c r="E15" s="28" t="inlineStr">
        <is>
          <t>query: groupId, keyword</t>
        </is>
      </c>
      <c r="F15" s="28" t="inlineStr">
        <is>
          <t>غير موثّق</t>
        </is>
      </c>
      <c r="G15" s="28" t="inlineStr">
        <is>
          <t>—</t>
        </is>
      </c>
      <c r="H15" s="28" t="inlineStr">
        <is>
          <t>courses.ts</t>
        </is>
      </c>
      <c r="I15" s="28" t="inlineStr">
        <is>
          <t>ناقص</t>
        </is>
      </c>
      <c r="J15" s="28" t="inlineStr">
        <is>
          <t>WP-T3</t>
        </is>
      </c>
      <c r="K15" s="28" t="inlineStr">
        <is>
          <t>نعم</t>
        </is>
      </c>
      <c r="L15" s="28" t="inlineStr">
        <is>
          <t>لا</t>
        </is>
      </c>
      <c r="M15" s="49" t="inlineStr">
        <is>
          <t>موجود ومطابق</t>
        </is>
      </c>
      <c r="N15" s="28" t="inlineStr">
        <is>
          <t>CourseController.GetGroupStudents</t>
        </is>
      </c>
      <c r="O15" s="28" t="inlineStr">
        <is>
          <t>يتحقق من ownership</t>
        </is>
      </c>
      <c r="P15" s="28" t="inlineStr">
        <is>
          <t>الحقول المرجعة (اسم/هاتف/موقع؟)</t>
        </is>
      </c>
    </row>
    <row r="16" ht="42" customHeight="1" s="26">
      <c r="A16" s="28" t="n">
        <v>15</v>
      </c>
      <c r="B16" s="28" t="inlineStr">
        <is>
          <t>Course</t>
        </is>
      </c>
      <c r="C16" s="28" t="inlineStr">
        <is>
          <t>POST</t>
        </is>
      </c>
      <c r="D16" s="28" t="inlineStr">
        <is>
          <t>/api/Course/CreateEdit</t>
        </is>
      </c>
      <c r="E16" s="28" t="inlineStr">
        <is>
          <t>body: id, teacherId, subjectId, categoryId, title, description, price, deliveryType(1|2), maxStudents, groupName, gradeId, saveAsDraft</t>
        </is>
      </c>
      <c r="F16" s="28" t="inlineStr">
        <is>
          <t>OperationResult</t>
        </is>
      </c>
      <c r="G16" s="28" t="inlineStr">
        <is>
          <t>—</t>
        </is>
      </c>
      <c r="H16" s="28" t="inlineStr">
        <is>
          <t>courses.ts</t>
        </is>
      </c>
      <c r="I16" s="28" t="inlineStr">
        <is>
          <t>ناقص</t>
        </is>
      </c>
      <c r="J16" s="28" t="inlineStr">
        <is>
          <t>WP-T1</t>
        </is>
      </c>
      <c r="K16" s="28" t="inlineStr">
        <is>
          <t>لا</t>
        </is>
      </c>
      <c r="L16" s="28" t="inlineStr">
        <is>
          <t>—</t>
        </is>
      </c>
      <c r="M16" s="49" t="inlineStr">
        <is>
          <t>موجود ومطابق</t>
        </is>
      </c>
      <c r="N16" s="28" t="inlineStr">
        <is>
          <t>CourseController.CreateEdit + CourseInputDto</t>
        </is>
      </c>
      <c r="O16" s="28" t="inlineStr">
        <is>
          <t>teacherId/categoryId/gradeId/groupName...</t>
        </is>
      </c>
      <c r="P16" s="28" t="inlineStr">
        <is>
          <t>teacherId مطلوب بالـ DTO (Q-03)</t>
        </is>
      </c>
    </row>
    <row r="17" ht="42" customHeight="1" s="26">
      <c r="A17" s="28" t="n">
        <v>16</v>
      </c>
      <c r="B17" s="28" t="inlineStr">
        <is>
          <t>Course</t>
        </is>
      </c>
      <c r="C17" s="28" t="inlineStr">
        <is>
          <t>POST</t>
        </is>
      </c>
      <c r="D17" s="28" t="inlineStr">
        <is>
          <t>/api/Course/ConfigureGroupSchedule</t>
        </is>
      </c>
      <c r="E17" s="28" t="inlineStr">
        <is>
          <t>body: groupId, maxStudents, courseStartDate, courseEndDate, defaultLessonDurationMinutes, scheduleDays[{dayOfWeek,startTime}]</t>
        </is>
      </c>
      <c r="F17" s="28" t="inlineStr">
        <is>
          <t>OperationResult</t>
        </is>
      </c>
      <c r="G17" s="28" t="inlineStr">
        <is>
          <t>—</t>
        </is>
      </c>
      <c r="H17" s="28" t="inlineStr">
        <is>
          <t>courses.ts</t>
        </is>
      </c>
      <c r="I17" s="28" t="inlineStr">
        <is>
          <t>ناقص</t>
        </is>
      </c>
      <c r="J17" s="28" t="inlineStr">
        <is>
          <t>WP-T2</t>
        </is>
      </c>
      <c r="K17" s="28" t="inlineStr">
        <is>
          <t>لا</t>
        </is>
      </c>
      <c r="L17" s="28" t="inlineStr">
        <is>
          <t>—</t>
        </is>
      </c>
      <c r="M17" s="49" t="inlineStr">
        <is>
          <t>موجود ومطابق</t>
        </is>
      </c>
      <c r="N17" s="28" t="inlineStr">
        <is>
          <t>CourseController.ConfigureGroupSchedule + GroupScheduleInputDto</t>
        </is>
      </c>
      <c r="O17" s="28" t="inlineStr">
        <is>
          <t>جدول أيام متكرر</t>
        </is>
      </c>
      <c r="P17" s="28" t="n">
        <v/>
      </c>
    </row>
    <row r="18" ht="42" customHeight="1" s="26">
      <c r="A18" s="28" t="n">
        <v>17</v>
      </c>
      <c r="B18" s="28" t="inlineStr">
        <is>
          <t>Lesson</t>
        </is>
      </c>
      <c r="C18" s="28" t="inlineStr">
        <is>
          <t>POST</t>
        </is>
      </c>
      <c r="D18" s="28" t="inlineStr">
        <is>
          <t>/api/Lesson/Create</t>
        </is>
      </c>
      <c r="E18" s="28" t="inlineStr">
        <is>
          <t>body: id, groupId, courseId, title, scheduledDate, startTime, durationMinutes, orderIndex, meetingPlatform, meetingUrl, meetingInstructions, room</t>
        </is>
      </c>
      <c r="F18" s="28" t="inlineStr">
        <is>
          <t>OperationResult</t>
        </is>
      </c>
      <c r="G18" s="28" t="inlineStr">
        <is>
          <t>createLesson</t>
        </is>
      </c>
      <c r="H18" s="28" t="inlineStr">
        <is>
          <t>lessons.ts</t>
        </is>
      </c>
      <c r="I18" s="28" t="inlineStr">
        <is>
          <t>يحتاج تصحيح</t>
        </is>
      </c>
      <c r="J18" s="28" t="inlineStr">
        <is>
          <t>WP-T4</t>
        </is>
      </c>
      <c r="K18" s="28" t="inlineStr">
        <is>
          <t>لا</t>
        </is>
      </c>
      <c r="L18" s="28" t="inlineStr">
        <is>
          <t>—</t>
        </is>
      </c>
      <c r="M18" s="49" t="inlineStr">
        <is>
          <t>موجود ومطابق</t>
        </is>
      </c>
      <c r="N18" s="28" t="inlineStr">
        <is>
          <t>LessonController.Create + LessonInputDto</t>
        </is>
      </c>
      <c r="O18" s="28" t="inlineStr">
        <is>
          <t>OperationResult</t>
        </is>
      </c>
      <c r="P18" s="28" t="inlineStr">
        <is>
          <t>الكود يتوقع LessonRow</t>
        </is>
      </c>
    </row>
    <row r="19" ht="42" customHeight="1" s="26">
      <c r="A19" s="28" t="n">
        <v>18</v>
      </c>
      <c r="B19" s="28" t="inlineStr">
        <is>
          <t>Lesson</t>
        </is>
      </c>
      <c r="C19" s="28" t="inlineStr">
        <is>
          <t>PUT</t>
        </is>
      </c>
      <c r="D19" s="28" t="inlineStr">
        <is>
          <t>/api/Lesson/Update</t>
        </is>
      </c>
      <c r="E19" s="28" t="inlineStr">
        <is>
          <t>نفس Create</t>
        </is>
      </c>
      <c r="F19" s="28" t="inlineStr">
        <is>
          <t>OperationResult</t>
        </is>
      </c>
      <c r="G19" s="28" t="inlineStr">
        <is>
          <t>updateLesson</t>
        </is>
      </c>
      <c r="H19" s="28" t="inlineStr">
        <is>
          <t>lessons.ts</t>
        </is>
      </c>
      <c r="I19" s="28" t="inlineStr">
        <is>
          <t>يحتاج تصحيح</t>
        </is>
      </c>
      <c r="J19" s="28" t="inlineStr">
        <is>
          <t>WP-T4</t>
        </is>
      </c>
      <c r="K19" s="28" t="inlineStr">
        <is>
          <t>لا</t>
        </is>
      </c>
      <c r="L19" s="28" t="inlineStr">
        <is>
          <t>—</t>
        </is>
      </c>
      <c r="M19" s="49" t="inlineStr">
        <is>
          <t>موجود ومطابق</t>
        </is>
      </c>
      <c r="N19" s="28" t="inlineStr">
        <is>
          <t>LessonController.Update</t>
        </is>
      </c>
      <c r="O19" s="28" t="inlineStr">
        <is>
          <t>OperationResult</t>
        </is>
      </c>
      <c r="P19" s="28" t="n">
        <v/>
      </c>
    </row>
    <row r="20" ht="42" customHeight="1" s="26">
      <c r="A20" s="28" t="n">
        <v>19</v>
      </c>
      <c r="B20" s="28" t="inlineStr">
        <is>
          <t>Lesson</t>
        </is>
      </c>
      <c r="C20" s="28" t="inlineStr">
        <is>
          <t>PUT</t>
        </is>
      </c>
      <c r="D20" s="28" t="inlineStr">
        <is>
          <t>/api/Lesson/ConfigureMeeting</t>
        </is>
      </c>
      <c r="E20" s="28" t="inlineStr">
        <is>
          <t>body: lessonId, meetingPlatform, meetingUrl, meetingInstructions</t>
        </is>
      </c>
      <c r="F20" s="28" t="inlineStr">
        <is>
          <t>OperationResult</t>
        </is>
      </c>
      <c r="G20" s="28" t="inlineStr">
        <is>
          <t>configureLessonMeeting</t>
        </is>
      </c>
      <c r="H20" s="28" t="inlineStr">
        <is>
          <t>lessons.ts</t>
        </is>
      </c>
      <c r="I20" s="28" t="inlineStr">
        <is>
          <t>يحتاج تصحيح</t>
        </is>
      </c>
      <c r="J20" s="28" t="inlineStr">
        <is>
          <t>WP-T4</t>
        </is>
      </c>
      <c r="K20" s="28" t="inlineStr">
        <is>
          <t>لا</t>
        </is>
      </c>
      <c r="L20" s="28" t="inlineStr">
        <is>
          <t>—</t>
        </is>
      </c>
      <c r="M20" s="49" t="inlineStr">
        <is>
          <t>موجود ومطابق</t>
        </is>
      </c>
      <c r="N20" s="28" t="inlineStr">
        <is>
          <t>LessonController.ConfigureMeeting</t>
        </is>
      </c>
      <c r="O20" s="28" t="inlineStr">
        <is>
          <t>MeetingPlatform/URL</t>
        </is>
      </c>
      <c r="P20" s="28" t="n">
        <v/>
      </c>
    </row>
    <row r="21" ht="42" customHeight="1" s="26">
      <c r="A21" s="28" t="n">
        <v>20</v>
      </c>
      <c r="B21" s="28" t="inlineStr">
        <is>
          <t>Lesson</t>
        </is>
      </c>
      <c r="C21" s="28" t="inlineStr">
        <is>
          <t>PUT</t>
        </is>
      </c>
      <c r="D21" s="28" t="inlineStr">
        <is>
          <t>/api/Lesson/Cancel</t>
        </is>
      </c>
      <c r="E21" s="28" t="inlineStr">
        <is>
          <t>body: lessonId, reason</t>
        </is>
      </c>
      <c r="F21" s="28" t="inlineStr">
        <is>
          <t>OperationResult</t>
        </is>
      </c>
      <c r="G21" s="28" t="inlineStr">
        <is>
          <t>cancelLesson</t>
        </is>
      </c>
      <c r="H21" s="28" t="inlineStr">
        <is>
          <t>lessons.ts</t>
        </is>
      </c>
      <c r="I21" s="28" t="inlineStr">
        <is>
          <t>يحتاج تصحيح</t>
        </is>
      </c>
      <c r="J21" s="28" t="inlineStr">
        <is>
          <t>WP-T4</t>
        </is>
      </c>
      <c r="K21" s="28" t="inlineStr">
        <is>
          <t>لا</t>
        </is>
      </c>
      <c r="L21" s="28" t="inlineStr">
        <is>
          <t>—</t>
        </is>
      </c>
      <c r="M21" s="49" t="inlineStr">
        <is>
          <t>موجود ومطابق</t>
        </is>
      </c>
      <c r="N21" s="28" t="inlineStr">
        <is>
          <t>LessonController.Cancel</t>
        </is>
      </c>
      <c r="O21" s="28" t="inlineStr">
        <is>
          <t>LessonCancelDto</t>
        </is>
      </c>
      <c r="P21" s="28" t="n">
        <v/>
      </c>
    </row>
    <row r="22" ht="42" customHeight="1" s="26">
      <c r="A22" s="28" t="n">
        <v>21</v>
      </c>
      <c r="B22" s="28" t="inlineStr">
        <is>
          <t>Lesson</t>
        </is>
      </c>
      <c r="C22" s="28" t="inlineStr">
        <is>
          <t>GET</t>
        </is>
      </c>
      <c r="D22" s="28" t="inlineStr">
        <is>
          <t>/api/Lesson/GetSchedule</t>
        </is>
      </c>
      <c r="E22" s="28" t="inlineStr">
        <is>
          <t>query: courseId, groupId</t>
        </is>
      </c>
      <c r="F22" s="28" t="inlineStr">
        <is>
          <t>غير موثّق</t>
        </is>
      </c>
      <c r="G22" s="28" t="inlineStr">
        <is>
          <t>getLessonSchedule</t>
        </is>
      </c>
      <c r="H22" s="28" t="inlineStr">
        <is>
          <t>lessons.ts</t>
        </is>
      </c>
      <c r="I22" s="50" t="inlineStr">
        <is>
          <t>يحتاج تحقق</t>
        </is>
      </c>
      <c r="J22" s="28" t="inlineStr">
        <is>
          <t>WP-T4</t>
        </is>
      </c>
      <c r="K22" s="28" t="inlineStr">
        <is>
          <t>نعم</t>
        </is>
      </c>
      <c r="L22" s="28" t="inlineStr">
        <is>
          <t>لا</t>
        </is>
      </c>
      <c r="M22" s="28" t="inlineStr">
        <is>
          <t>موجود لكن يحتاج عينة JSON فقط للتأكد من الشكل النهائي</t>
        </is>
      </c>
      <c r="N22" s="28" t="inlineStr">
        <is>
          <t>LessonController.GetSchedule</t>
        </is>
      </c>
      <c r="O22" s="28" t="inlineStr">
        <is>
          <t>List/DTO غير موثق في Swagger</t>
        </is>
      </c>
      <c r="P22" s="28" t="n">
        <v/>
      </c>
    </row>
    <row r="23" ht="42" customHeight="1" s="26">
      <c r="A23" s="28" t="n">
        <v>22</v>
      </c>
      <c r="B23" s="28" t="inlineStr">
        <is>
          <t>Parent</t>
        </is>
      </c>
      <c r="C23" s="28" t="inlineStr">
        <is>
          <t>GET</t>
        </is>
      </c>
      <c r="D23" s="28" t="inlineStr">
        <is>
          <t>/api/Parent/MyChildren</t>
        </is>
      </c>
      <c r="E23" s="28" t="inlineStr">
        <is>
          <t>—</t>
        </is>
      </c>
      <c r="F23" s="28" t="inlineStr">
        <is>
          <t>غير موثّق (النوع بالكود)</t>
        </is>
      </c>
      <c r="G23" s="28" t="inlineStr">
        <is>
          <t>getMyChildren</t>
        </is>
      </c>
      <c r="H23" s="28" t="inlineStr">
        <is>
          <t>parent.ts</t>
        </is>
      </c>
      <c r="I23" s="28" t="inlineStr">
        <is>
          <t>جاهز</t>
        </is>
      </c>
      <c r="J23" s="28" t="inlineStr">
        <is>
          <t>WP-P1</t>
        </is>
      </c>
      <c r="K23" s="28" t="inlineStr">
        <is>
          <t>لا</t>
        </is>
      </c>
      <c r="L23" s="28" t="inlineStr">
        <is>
          <t>—</t>
        </is>
      </c>
      <c r="M23" s="49" t="inlineStr">
        <is>
          <t>موجود ومطابق</t>
        </is>
      </c>
      <c r="N23" s="28" t="inlineStr">
        <is>
          <t>ParentController.MyChildren</t>
        </is>
      </c>
      <c r="O23" s="28" t="inlineStr">
        <is>
          <t>ChildOverviewDto</t>
        </is>
      </c>
      <c r="P23" s="28" t="inlineStr">
        <is>
          <t>unreadNotificationsCount موجود بالنوع</t>
        </is>
      </c>
    </row>
    <row r="24" ht="42" customHeight="1" s="26">
      <c r="A24" s="28" t="n">
        <v>23</v>
      </c>
      <c r="B24" s="28" t="inlineStr">
        <is>
          <t>Parent</t>
        </is>
      </c>
      <c r="C24" s="28" t="inlineStr">
        <is>
          <t>GET</t>
        </is>
      </c>
      <c r="D24" s="28" t="inlineStr">
        <is>
          <t>/api/Parent/ChildAttendance</t>
        </is>
      </c>
      <c r="E24" s="28" t="inlineStr">
        <is>
          <t>query: studentId, from, to</t>
        </is>
      </c>
      <c r="F24" s="28" t="inlineStr">
        <is>
          <t>غير موثّق</t>
        </is>
      </c>
      <c r="G24" s="28" t="inlineStr">
        <is>
          <t>getChildAttendance</t>
        </is>
      </c>
      <c r="H24" s="28" t="inlineStr">
        <is>
          <t>parent.ts</t>
        </is>
      </c>
      <c r="I24" s="28" t="inlineStr">
        <is>
          <t>جاهز</t>
        </is>
      </c>
      <c r="J24" s="28" t="inlineStr">
        <is>
          <t>WP-P1</t>
        </is>
      </c>
      <c r="K24" s="28" t="inlineStr">
        <is>
          <t>لا</t>
        </is>
      </c>
      <c r="L24" s="28" t="inlineStr">
        <is>
          <t>—</t>
        </is>
      </c>
      <c r="M24" s="49" t="inlineStr">
        <is>
          <t>موجود ومطابق</t>
        </is>
      </c>
      <c r="N24" s="28" t="inlineStr">
        <is>
          <t>ParentController.ChildAttendance</t>
        </is>
      </c>
      <c r="O24" s="28" t="inlineStr">
        <is>
          <t>يتحقق من ParentStudentLinks</t>
        </is>
      </c>
      <c r="P24" s="28" t="n">
        <v/>
      </c>
    </row>
    <row r="25" ht="42" customHeight="1" s="26">
      <c r="A25" s="28" t="n">
        <v>24</v>
      </c>
      <c r="B25" s="28" t="inlineStr">
        <is>
          <t>Parent</t>
        </is>
      </c>
      <c r="C25" s="28" t="inlineStr">
        <is>
          <t>GET</t>
        </is>
      </c>
      <c r="D25" s="28" t="inlineStr">
        <is>
          <t>/api/Parent/ChildExamResults</t>
        </is>
      </c>
      <c r="E25" s="28" t="inlineStr">
        <is>
          <t>query: studentId</t>
        </is>
      </c>
      <c r="F25" s="28" t="inlineStr">
        <is>
          <t>غير موثّق</t>
        </is>
      </c>
      <c r="G25" s="28" t="inlineStr">
        <is>
          <t>getChildExamResults</t>
        </is>
      </c>
      <c r="H25" s="28" t="inlineStr">
        <is>
          <t>parent.ts</t>
        </is>
      </c>
      <c r="I25" s="28" t="inlineStr">
        <is>
          <t>جاهز</t>
        </is>
      </c>
      <c r="J25" s="28" t="inlineStr">
        <is>
          <t>WP-P1</t>
        </is>
      </c>
      <c r="K25" s="28" t="inlineStr">
        <is>
          <t>لا</t>
        </is>
      </c>
      <c r="L25" s="28" t="inlineStr">
        <is>
          <t>—</t>
        </is>
      </c>
      <c r="M25" s="49" t="inlineStr">
        <is>
          <t>موجود ومطابق</t>
        </is>
      </c>
      <c r="N25" s="28" t="inlineStr">
        <is>
          <t>ParentController.ChildExamResults</t>
        </is>
      </c>
      <c r="O25" s="28" t="inlineStr">
        <is>
          <t>يتحقق من ParentStudentLinks</t>
        </is>
      </c>
      <c r="P25" s="28" t="n">
        <v/>
      </c>
    </row>
    <row r="26" ht="42" customHeight="1" s="26">
      <c r="A26" s="28" t="n">
        <v>25</v>
      </c>
      <c r="B26" s="28" t="inlineStr">
        <is>
          <t>Student</t>
        </is>
      </c>
      <c r="C26" s="28" t="inlineStr">
        <is>
          <t>GET</t>
        </is>
      </c>
      <c r="D26" s="28" t="inlineStr">
        <is>
          <t>/api/Student/Dashboard</t>
        </is>
      </c>
      <c r="E26" s="28" t="inlineStr">
        <is>
          <t>—</t>
        </is>
      </c>
      <c r="F26" s="28" t="inlineStr">
        <is>
          <t>غير موثّق (النوع بالكود)</t>
        </is>
      </c>
      <c r="G26" s="28" t="inlineStr">
        <is>
          <t>getStudentDashboard</t>
        </is>
      </c>
      <c r="H26" s="28" t="inlineStr">
        <is>
          <t>student.ts</t>
        </is>
      </c>
      <c r="I26" s="28" t="inlineStr">
        <is>
          <t>جاهز</t>
        </is>
      </c>
      <c r="J26" s="28" t="inlineStr">
        <is>
          <t>WP-S6</t>
        </is>
      </c>
      <c r="K26" s="28" t="inlineStr">
        <is>
          <t>لا</t>
        </is>
      </c>
      <c r="L26" s="28" t="inlineStr">
        <is>
          <t>—</t>
        </is>
      </c>
      <c r="M26" s="49" t="inlineStr">
        <is>
          <t>موجود ومطابق</t>
        </is>
      </c>
      <c r="N26" s="28" t="inlineStr">
        <is>
          <t>StudentController.Dashboard</t>
        </is>
      </c>
      <c r="O26" s="28" t="inlineStr">
        <is>
          <t>StudentDashboardDto</t>
        </is>
      </c>
      <c r="P26" s="28" t="inlineStr">
        <is>
          <t>activeCourses لـ WP-S6</t>
        </is>
      </c>
    </row>
    <row r="27" ht="42" customHeight="1" s="26">
      <c r="A27" s="28" t="n">
        <v>26</v>
      </c>
      <c r="B27" s="28" t="inlineStr">
        <is>
          <t>Student</t>
        </is>
      </c>
      <c r="C27" s="28" t="inlineStr">
        <is>
          <t>GET</t>
        </is>
      </c>
      <c r="D27" s="28" t="inlineStr">
        <is>
          <t>/api/Student/MyRequests</t>
        </is>
      </c>
      <c r="E27" s="28" t="inlineStr">
        <is>
          <t>query: status(1..6)</t>
        </is>
      </c>
      <c r="F27" s="28" t="inlineStr">
        <is>
          <t>غير موثّق</t>
        </is>
      </c>
      <c r="G27" s="28" t="inlineStr">
        <is>
          <t>getStudentMyRequests</t>
        </is>
      </c>
      <c r="H27" s="28" t="inlineStr">
        <is>
          <t>student.ts</t>
        </is>
      </c>
      <c r="I27" s="28" t="inlineStr">
        <is>
          <t>جاهز</t>
        </is>
      </c>
      <c r="J27" s="28" t="inlineStr">
        <is>
          <t>WP-S2</t>
        </is>
      </c>
      <c r="K27" s="28" t="inlineStr">
        <is>
          <t>لا</t>
        </is>
      </c>
      <c r="L27" s="28" t="inlineStr">
        <is>
          <t>—</t>
        </is>
      </c>
      <c r="M27" s="49" t="inlineStr">
        <is>
          <t>موجود ومطابق</t>
        </is>
      </c>
      <c r="N27" s="28" t="inlineStr">
        <is>
          <t>StudentController.MyRequests</t>
        </is>
      </c>
      <c r="O27" s="28" t="inlineStr">
        <is>
          <t>BookingStatus?</t>
        </is>
      </c>
      <c r="P27" s="28" t="n">
        <v/>
      </c>
    </row>
    <row r="28" ht="42" customHeight="1" s="26">
      <c r="A28" s="28" t="n">
        <v>27</v>
      </c>
      <c r="B28" s="28" t="inlineStr">
        <is>
          <t>Student</t>
        </is>
      </c>
      <c r="C28" s="28" t="inlineStr">
        <is>
          <t>GET</t>
        </is>
      </c>
      <c r="D28" s="28" t="inlineStr">
        <is>
          <t>/api/Student/GetBooking</t>
        </is>
      </c>
      <c r="E28" s="28" t="inlineStr">
        <is>
          <t>query: id</t>
        </is>
      </c>
      <c r="F28" s="28" t="inlineStr">
        <is>
          <t>غير موثّق</t>
        </is>
      </c>
      <c r="G28" s="28" t="inlineStr">
        <is>
          <t>—</t>
        </is>
      </c>
      <c r="H28" s="28" t="inlineStr">
        <is>
          <t>student.ts</t>
        </is>
      </c>
      <c r="I28" s="28" t="inlineStr">
        <is>
          <t>ناقص</t>
        </is>
      </c>
      <c r="J28" s="28" t="inlineStr">
        <is>
          <t>WP-S2, S3, S4</t>
        </is>
      </c>
      <c r="K28" s="28" t="inlineStr">
        <is>
          <t>نعم</t>
        </is>
      </c>
      <c r="L28" s="28" t="inlineStr">
        <is>
          <t>لا</t>
        </is>
      </c>
      <c r="M28" s="49" t="inlineStr">
        <is>
          <t>موجود ومطابق</t>
        </is>
      </c>
      <c r="N28" s="28" t="inlineStr">
        <is>
          <t>StudentController.GetBooking</t>
        </is>
      </c>
      <c r="O28" s="28" t="inlineStr">
        <is>
          <t>Booking detail</t>
        </is>
      </c>
      <c r="P28" s="28" t="inlineStr">
        <is>
          <t>هل يتضمن isRated/تفاصيل الدفع؟</t>
        </is>
      </c>
    </row>
    <row r="29" ht="42" customHeight="1" s="26">
      <c r="A29" s="28" t="n">
        <v>28</v>
      </c>
      <c r="B29" s="28" t="inlineStr">
        <is>
          <t>Student</t>
        </is>
      </c>
      <c r="C29" s="28" t="inlineStr">
        <is>
          <t>GET</t>
        </is>
      </c>
      <c r="D29" s="28" t="inlineStr">
        <is>
          <t>/api/Student/MyBookings</t>
        </is>
      </c>
      <c r="E29" s="28" t="inlineStr">
        <is>
          <t>—</t>
        </is>
      </c>
      <c r="F29" s="28" t="inlineStr">
        <is>
          <t>غير موثّق</t>
        </is>
      </c>
      <c r="G29" s="28" t="inlineStr">
        <is>
          <t>getStudentMyBookings</t>
        </is>
      </c>
      <c r="H29" s="28" t="inlineStr">
        <is>
          <t>student.ts</t>
        </is>
      </c>
      <c r="I29" s="28" t="inlineStr">
        <is>
          <t>جاهز</t>
        </is>
      </c>
      <c r="J29" s="28" t="inlineStr">
        <is>
          <t>WP-S2</t>
        </is>
      </c>
      <c r="K29" s="28" t="inlineStr">
        <is>
          <t>لا</t>
        </is>
      </c>
      <c r="L29" s="28" t="inlineStr">
        <is>
          <t>—</t>
        </is>
      </c>
      <c r="M29" s="49" t="inlineStr">
        <is>
          <t>موجود ومطابق</t>
        </is>
      </c>
      <c r="N29" s="28" t="inlineStr">
        <is>
          <t>StudentController.MyBookings</t>
        </is>
      </c>
      <c r="O29" s="28" t="inlineStr">
        <is>
          <t>confirmed bookings</t>
        </is>
      </c>
      <c r="P29" s="28" t="n">
        <v/>
      </c>
    </row>
    <row r="30" ht="42" customHeight="1" s="26">
      <c r="A30" s="28" t="n">
        <v>29</v>
      </c>
      <c r="B30" s="28" t="inlineStr">
        <is>
          <t>Student</t>
        </is>
      </c>
      <c r="C30" s="28" t="inlineStr">
        <is>
          <t>GET</t>
        </is>
      </c>
      <c r="D30" s="28" t="inlineStr">
        <is>
          <t>/api/Student/BookingPayment</t>
        </is>
      </c>
      <c r="E30" s="28" t="inlineStr">
        <is>
          <t>query: bookingId</t>
        </is>
      </c>
      <c r="F30" s="28" t="inlineStr">
        <is>
          <t>غير موثّق</t>
        </is>
      </c>
      <c r="G30" s="28" t="inlineStr">
        <is>
          <t>—</t>
        </is>
      </c>
      <c r="H30" s="28" t="inlineStr">
        <is>
          <t>student.ts</t>
        </is>
      </c>
      <c r="I30" s="28" t="inlineStr">
        <is>
          <t>ناقص</t>
        </is>
      </c>
      <c r="J30" s="28" t="inlineStr">
        <is>
          <t>WP-W1</t>
        </is>
      </c>
      <c r="K30" s="28" t="inlineStr">
        <is>
          <t>نعم</t>
        </is>
      </c>
      <c r="L30" s="28" t="inlineStr">
        <is>
          <t>لا</t>
        </is>
      </c>
      <c r="M30" s="49" t="inlineStr">
        <is>
          <t>موجود ومطابق</t>
        </is>
      </c>
      <c r="N30" s="28" t="inlineStr">
        <is>
          <t>StudentController.BookingPayment</t>
        </is>
      </c>
      <c r="O30" s="28" t="inlineStr">
        <is>
          <t>BookingPaymentDto</t>
        </is>
      </c>
      <c r="P30" s="28" t="n">
        <v/>
      </c>
    </row>
    <row r="31" ht="42" customHeight="1" s="26">
      <c r="A31" s="28" t="n">
        <v>30</v>
      </c>
      <c r="B31" s="28" t="inlineStr">
        <is>
          <t>Student</t>
        </is>
      </c>
      <c r="C31" s="28" t="inlineStr">
        <is>
          <t>POST</t>
        </is>
      </c>
      <c r="D31" s="28" t="inlineStr">
        <is>
          <t>/api/Student/CancelBooking</t>
        </is>
      </c>
      <c r="E31" s="28" t="inlineStr">
        <is>
          <t>body: bookingId, reason</t>
        </is>
      </c>
      <c r="F31" s="28" t="inlineStr">
        <is>
          <t>OperationResult</t>
        </is>
      </c>
      <c r="G31" s="28" t="inlineStr">
        <is>
          <t>—</t>
        </is>
      </c>
      <c r="H31" s="28" t="inlineStr">
        <is>
          <t>student.ts</t>
        </is>
      </c>
      <c r="I31" s="28" t="inlineStr">
        <is>
          <t>ناقص</t>
        </is>
      </c>
      <c r="J31" s="28" t="inlineStr">
        <is>
          <t>WP-S2</t>
        </is>
      </c>
      <c r="K31" s="28" t="inlineStr">
        <is>
          <t>لا</t>
        </is>
      </c>
      <c r="L31" s="28" t="inlineStr">
        <is>
          <t>—</t>
        </is>
      </c>
      <c r="M31" s="49" t="inlineStr">
        <is>
          <t>موجود ومطابق</t>
        </is>
      </c>
      <c r="N31" s="28" t="inlineStr">
        <is>
          <t>StudentController.CancelBooking</t>
        </is>
      </c>
      <c r="O31" s="28" t="inlineStr">
        <is>
          <t>CancelBookingDto</t>
        </is>
      </c>
      <c r="P31" s="28" t="n">
        <v/>
      </c>
    </row>
    <row r="32" ht="42" customHeight="1" s="26">
      <c r="A32" s="28" t="n">
        <v>31</v>
      </c>
      <c r="B32" s="28" t="inlineStr">
        <is>
          <t>Student</t>
        </is>
      </c>
      <c r="C32" s="28" t="inlineStr">
        <is>
          <t>POST</t>
        </is>
      </c>
      <c r="D32" s="28" t="inlineStr">
        <is>
          <t>/api/Student/RequestReschedule</t>
        </is>
      </c>
      <c r="E32" s="28" t="inlineStr">
        <is>
          <t>body: bookingId, proposedDate, proposedStartTime, note</t>
        </is>
      </c>
      <c r="F32" s="28" t="inlineStr">
        <is>
          <t>OperationResult</t>
        </is>
      </c>
      <c r="G32" s="28" t="inlineStr">
        <is>
          <t>—</t>
        </is>
      </c>
      <c r="H32" s="28" t="inlineStr">
        <is>
          <t>student.ts</t>
        </is>
      </c>
      <c r="I32" s="28" t="inlineStr">
        <is>
          <t>ناقص</t>
        </is>
      </c>
      <c r="J32" s="28" t="inlineStr">
        <is>
          <t>WP-S3</t>
        </is>
      </c>
      <c r="K32" s="28" t="inlineStr">
        <is>
          <t>لا</t>
        </is>
      </c>
      <c r="L32" s="28" t="inlineStr">
        <is>
          <t>—</t>
        </is>
      </c>
      <c r="M32" s="49" t="inlineStr">
        <is>
          <t>موجود ومطابق</t>
        </is>
      </c>
      <c r="N32" s="28" t="inlineStr">
        <is>
          <t>StudentController.RequestReschedule</t>
        </is>
      </c>
      <c r="O32" s="28" t="inlineStr">
        <is>
          <t>RescheduleRequestInputDto</t>
        </is>
      </c>
      <c r="P32" s="28" t="n">
        <v/>
      </c>
    </row>
    <row r="33" ht="42" customHeight="1" s="26">
      <c r="A33" s="28" t="n">
        <v>32</v>
      </c>
      <c r="B33" s="28" t="inlineStr">
        <is>
          <t>Student</t>
        </is>
      </c>
      <c r="C33" s="28" t="inlineStr">
        <is>
          <t>GET</t>
        </is>
      </c>
      <c r="D33" s="28" t="inlineStr">
        <is>
          <t>/api/Student/MyRescheduleRequests</t>
        </is>
      </c>
      <c r="E33" s="28" t="inlineStr">
        <is>
          <t>—</t>
        </is>
      </c>
      <c r="F33" s="28" t="inlineStr">
        <is>
          <t>غير موثّق</t>
        </is>
      </c>
      <c r="G33" s="28" t="inlineStr">
        <is>
          <t>—</t>
        </is>
      </c>
      <c r="H33" s="28" t="inlineStr">
        <is>
          <t>student.ts</t>
        </is>
      </c>
      <c r="I33" s="28" t="inlineStr">
        <is>
          <t>ناقص</t>
        </is>
      </c>
      <c r="J33" s="28" t="inlineStr">
        <is>
          <t>WP-S3</t>
        </is>
      </c>
      <c r="K33" s="28" t="inlineStr">
        <is>
          <t>نعم</t>
        </is>
      </c>
      <c r="L33" s="28" t="inlineStr">
        <is>
          <t>لا</t>
        </is>
      </c>
      <c r="M33" s="49" t="inlineStr">
        <is>
          <t>موجود ومطابق</t>
        </is>
      </c>
      <c r="N33" s="28" t="inlineStr">
        <is>
          <t>StudentController.MyRescheduleRequests</t>
        </is>
      </c>
      <c r="O33" s="28" t="inlineStr">
        <is>
          <t>List&lt;RescheduleRequestDto&gt;</t>
        </is>
      </c>
      <c r="P33" s="28" t="inlineStr">
        <is>
          <t>أسماء حالات الطلب</t>
        </is>
      </c>
    </row>
    <row r="34" ht="42" customHeight="1" s="26">
      <c r="A34" s="28" t="n">
        <v>33</v>
      </c>
      <c r="B34" s="28" t="inlineStr">
        <is>
          <t>Student</t>
        </is>
      </c>
      <c r="C34" s="28" t="inlineStr">
        <is>
          <t>GET</t>
        </is>
      </c>
      <c r="D34" s="28" t="inlineStr">
        <is>
          <t>/api/Student/Schedule</t>
        </is>
      </c>
      <c r="E34" s="28" t="inlineStr">
        <is>
          <t>query: From, To, CourseId, TeacherId, Mode(1|2)</t>
        </is>
      </c>
      <c r="F34" s="28" t="inlineStr">
        <is>
          <t>غير موثّق (النوع بالكود)</t>
        </is>
      </c>
      <c r="G34" s="28" t="inlineStr">
        <is>
          <t>getStudentSchedule</t>
        </is>
      </c>
      <c r="H34" s="28" t="inlineStr">
        <is>
          <t>student.ts</t>
        </is>
      </c>
      <c r="I34" s="28" t="inlineStr">
        <is>
          <t>جاهز</t>
        </is>
      </c>
      <c r="J34" s="28" t="inlineStr">
        <is>
          <t>WP-S5</t>
        </is>
      </c>
      <c r="K34" s="28" t="inlineStr">
        <is>
          <t>لا</t>
        </is>
      </c>
      <c r="L34" s="28" t="inlineStr">
        <is>
          <t>—</t>
        </is>
      </c>
      <c r="M34" s="49" t="inlineStr">
        <is>
          <t>موجود ومطابق</t>
        </is>
      </c>
      <c r="N34" s="28" t="inlineStr">
        <is>
          <t>StudentController.Schedule</t>
        </is>
      </c>
      <c r="O34" s="28" t="inlineStr">
        <is>
          <t>StudentScheduleFilterDto</t>
        </is>
      </c>
      <c r="P34" s="28" t="n">
        <v/>
      </c>
    </row>
    <row r="35" ht="42" customHeight="1" s="26">
      <c r="A35" s="28" t="n">
        <v>34</v>
      </c>
      <c r="B35" s="28" t="inlineStr">
        <is>
          <t>Student</t>
        </is>
      </c>
      <c r="C35" s="28" t="inlineStr">
        <is>
          <t>GET</t>
        </is>
      </c>
      <c r="D35" s="28" t="inlineStr">
        <is>
          <t>/api/Student/GetLesson</t>
        </is>
      </c>
      <c r="E35" s="28" t="inlineStr">
        <is>
          <t>query: id</t>
        </is>
      </c>
      <c r="F35" s="28" t="inlineStr">
        <is>
          <t>غير موثّق</t>
        </is>
      </c>
      <c r="G35" s="28" t="inlineStr">
        <is>
          <t>—</t>
        </is>
      </c>
      <c r="H35" s="28" t="inlineStr">
        <is>
          <t>student.ts</t>
        </is>
      </c>
      <c r="I35" s="28" t="inlineStr">
        <is>
          <t>ناقص</t>
        </is>
      </c>
      <c r="J35" s="28" t="inlineStr">
        <is>
          <t>WP-S5</t>
        </is>
      </c>
      <c r="K35" s="28" t="inlineStr">
        <is>
          <t>نعم</t>
        </is>
      </c>
      <c r="L35" s="28" t="inlineStr">
        <is>
          <t>لا</t>
        </is>
      </c>
      <c r="M35" s="49" t="inlineStr">
        <is>
          <t>موجود ومطابق</t>
        </is>
      </c>
      <c r="N35" s="28" t="inlineStr">
        <is>
          <t>StudentController.GetLesson</t>
        </is>
      </c>
      <c r="O35" s="28" t="inlineStr">
        <is>
          <t>StudentLessonDetailDto</t>
        </is>
      </c>
      <c r="P35" s="28" t="n">
        <v/>
      </c>
    </row>
    <row r="36" ht="42" customHeight="1" s="26">
      <c r="A36" s="28" t="n">
        <v>35</v>
      </c>
      <c r="B36" s="28" t="inlineStr">
        <is>
          <t>Student</t>
        </is>
      </c>
      <c r="C36" s="28" t="inlineStr">
        <is>
          <t>GET</t>
        </is>
      </c>
      <c r="D36" s="28" t="inlineStr">
        <is>
          <t>/api/Student/GetCourse</t>
        </is>
      </c>
      <c r="E36" s="28" t="inlineStr">
        <is>
          <t>query: id</t>
        </is>
      </c>
      <c r="F36" s="28" t="inlineStr">
        <is>
          <t>غير موثّق</t>
        </is>
      </c>
      <c r="G36" s="28" t="inlineStr">
        <is>
          <t>—</t>
        </is>
      </c>
      <c r="H36" s="28" t="inlineStr">
        <is>
          <t>student.ts</t>
        </is>
      </c>
      <c r="I36" s="28" t="inlineStr">
        <is>
          <t>ناقص</t>
        </is>
      </c>
      <c r="J36" s="28" t="inlineStr">
        <is>
          <t>WP-S6</t>
        </is>
      </c>
      <c r="K36" s="28" t="inlineStr">
        <is>
          <t>نعم</t>
        </is>
      </c>
      <c r="L36" s="28" t="inlineStr">
        <is>
          <t>لا</t>
        </is>
      </c>
      <c r="M36" s="49" t="inlineStr">
        <is>
          <t>موجود ومطابق</t>
        </is>
      </c>
      <c r="N36" s="28" t="inlineStr">
        <is>
          <t>StudentController.GetCourse</t>
        </is>
      </c>
      <c r="O36" s="28" t="inlineStr">
        <is>
          <t>StudentCourseDetailDto</t>
        </is>
      </c>
      <c r="P36" s="28" t="n">
        <v/>
      </c>
    </row>
    <row r="37" ht="42" customHeight="1" s="26">
      <c r="A37" s="28" t="n">
        <v>36</v>
      </c>
      <c r="B37" s="28" t="inlineStr">
        <is>
          <t>Student</t>
        </is>
      </c>
      <c r="C37" s="28" t="inlineStr">
        <is>
          <t>GET</t>
        </is>
      </c>
      <c r="D37" s="28" t="inlineStr">
        <is>
          <t>/api/Student/Attendance</t>
        </is>
      </c>
      <c r="E37" s="28" t="inlineStr">
        <is>
          <t>query: from, to, courseId</t>
        </is>
      </c>
      <c r="F37" s="28" t="inlineStr">
        <is>
          <t>غير موثّق</t>
        </is>
      </c>
      <c r="G37" s="28" t="inlineStr">
        <is>
          <t>—</t>
        </is>
      </c>
      <c r="H37" s="28" t="inlineStr">
        <is>
          <t>student.ts</t>
        </is>
      </c>
      <c r="I37" s="28" t="inlineStr">
        <is>
          <t>ناقص</t>
        </is>
      </c>
      <c r="J37" s="28" t="inlineStr">
        <is>
          <t>WP-S7</t>
        </is>
      </c>
      <c r="K37" s="28" t="inlineStr">
        <is>
          <t>نعم</t>
        </is>
      </c>
      <c r="L37" s="28" t="inlineStr">
        <is>
          <t>لا</t>
        </is>
      </c>
      <c r="M37" s="49" t="inlineStr">
        <is>
          <t>موجود ومطابق</t>
        </is>
      </c>
      <c r="N37" s="28" t="inlineStr">
        <is>
          <t>StudentController.Attendance</t>
        </is>
      </c>
      <c r="O37" s="28" t="inlineStr">
        <is>
          <t>StudentAttendanceDto</t>
        </is>
      </c>
      <c r="P37" s="28" t="n">
        <v/>
      </c>
    </row>
    <row r="38" ht="42" customHeight="1" s="26">
      <c r="A38" s="28" t="n">
        <v>37</v>
      </c>
      <c r="B38" s="28" t="inlineStr">
        <is>
          <t>Student</t>
        </is>
      </c>
      <c r="C38" s="28" t="inlineStr">
        <is>
          <t>GET</t>
        </is>
      </c>
      <c r="D38" s="28" t="inlineStr">
        <is>
          <t>/api/Student/ExamResults</t>
        </is>
      </c>
      <c r="E38" s="28" t="inlineStr">
        <is>
          <t>query: courseId</t>
        </is>
      </c>
      <c r="F38" s="28" t="inlineStr">
        <is>
          <t>غير موثّق</t>
        </is>
      </c>
      <c r="G38" s="28" t="inlineStr">
        <is>
          <t>—</t>
        </is>
      </c>
      <c r="H38" s="28" t="inlineStr">
        <is>
          <t>student.ts</t>
        </is>
      </c>
      <c r="I38" s="28" t="inlineStr">
        <is>
          <t>ناقص</t>
        </is>
      </c>
      <c r="J38" s="28" t="inlineStr">
        <is>
          <t>WP-S8</t>
        </is>
      </c>
      <c r="K38" s="28" t="inlineStr">
        <is>
          <t>نعم</t>
        </is>
      </c>
      <c r="L38" s="28" t="inlineStr">
        <is>
          <t>لا</t>
        </is>
      </c>
      <c r="M38" s="49" t="inlineStr">
        <is>
          <t>موجود ومطابق</t>
        </is>
      </c>
      <c r="N38" s="28" t="inlineStr">
        <is>
          <t>StudentController.ExamResults</t>
        </is>
      </c>
      <c r="O38" s="28" t="inlineStr">
        <is>
          <t>StudentExamResultDto</t>
        </is>
      </c>
      <c r="P38" s="28" t="n">
        <v/>
      </c>
    </row>
    <row r="39" ht="42" customHeight="1" s="26">
      <c r="A39" s="28" t="n">
        <v>38</v>
      </c>
      <c r="B39" s="28" t="inlineStr">
        <is>
          <t>Student</t>
        </is>
      </c>
      <c r="C39" s="28" t="inlineStr">
        <is>
          <t>GET</t>
        </is>
      </c>
      <c r="D39" s="28" t="inlineStr">
        <is>
          <t>/api/Student/Progress</t>
        </is>
      </c>
      <c r="E39" s="28" t="inlineStr">
        <is>
          <t>—</t>
        </is>
      </c>
      <c r="F39" s="28" t="inlineStr">
        <is>
          <t>غير موثّق (StudentProgressDto بالكود)</t>
        </is>
      </c>
      <c r="G39" s="28" t="inlineStr">
        <is>
          <t>—</t>
        </is>
      </c>
      <c r="H39" s="28" t="inlineStr">
        <is>
          <t>student.ts</t>
        </is>
      </c>
      <c r="I39" s="28" t="inlineStr">
        <is>
          <t>ناقص</t>
        </is>
      </c>
      <c r="J39" s="28" t="inlineStr">
        <is>
          <t>WP-S9, S7</t>
        </is>
      </c>
      <c r="K39" s="28" t="inlineStr">
        <is>
          <t>لا</t>
        </is>
      </c>
      <c r="L39" s="28" t="inlineStr">
        <is>
          <t>—</t>
        </is>
      </c>
      <c r="M39" s="49" t="inlineStr">
        <is>
          <t>موجود ومطابق</t>
        </is>
      </c>
      <c r="N39" s="28" t="inlineStr">
        <is>
          <t>StudentController.Progress</t>
        </is>
      </c>
      <c r="O39" s="28" t="inlineStr">
        <is>
          <t>StudentProgressDto</t>
        </is>
      </c>
      <c r="P39" s="28" t="inlineStr">
        <is>
          <t>النوع موجود بالكود فقط</t>
        </is>
      </c>
    </row>
    <row r="40" ht="42" customHeight="1" s="26">
      <c r="A40" s="28" t="n">
        <v>39</v>
      </c>
      <c r="B40" s="28" t="inlineStr">
        <is>
          <t>Student</t>
        </is>
      </c>
      <c r="C40" s="28" t="inlineStr">
        <is>
          <t>GET</t>
        </is>
      </c>
      <c r="D40" s="28" t="inlineStr">
        <is>
          <t>/api/Student/Notifications</t>
        </is>
      </c>
      <c r="E40" s="28" t="inlineStr">
        <is>
          <t>query: unreadOnly, skip, pageSize</t>
        </is>
      </c>
      <c r="F40" s="28" t="inlineStr">
        <is>
          <t>غير موثّق</t>
        </is>
      </c>
      <c r="G40" s="28" t="inlineStr">
        <is>
          <t>getStudentNotifications</t>
        </is>
      </c>
      <c r="H40" s="28" t="inlineStr">
        <is>
          <t>student.ts</t>
        </is>
      </c>
      <c r="I40" s="28" t="inlineStr">
        <is>
          <t>جاهز</t>
        </is>
      </c>
      <c r="J40" s="28" t="inlineStr">
        <is>
          <t>(FR-S12)</t>
        </is>
      </c>
      <c r="K40" s="28" t="inlineStr">
        <is>
          <t>لا</t>
        </is>
      </c>
      <c r="L40" s="28" t="inlineStr">
        <is>
          <t>—</t>
        </is>
      </c>
      <c r="M40" s="49" t="inlineStr">
        <is>
          <t>موجود ومطابق</t>
        </is>
      </c>
      <c r="N40" s="28" t="inlineStr">
        <is>
          <t>StudentController.Notifications</t>
        </is>
      </c>
      <c r="O40" s="28" t="inlineStr">
        <is>
          <t>StudentNotificationDto</t>
        </is>
      </c>
      <c r="P40" s="28" t="n">
        <v/>
      </c>
    </row>
    <row r="41" ht="42" customHeight="1" s="26">
      <c r="A41" s="28" t="n">
        <v>40</v>
      </c>
      <c r="B41" s="28" t="inlineStr">
        <is>
          <t>Student</t>
        </is>
      </c>
      <c r="C41" s="28" t="inlineStr">
        <is>
          <t>POST</t>
        </is>
      </c>
      <c r="D41" s="28" t="inlineStr">
        <is>
          <t>/api/Student/MarkNotificationRead</t>
        </is>
      </c>
      <c r="E41" s="28" t="inlineStr">
        <is>
          <t>query: id</t>
        </is>
      </c>
      <c r="F41" s="28" t="inlineStr">
        <is>
          <t>OperationResult</t>
        </is>
      </c>
      <c r="G41" s="28" t="inlineStr">
        <is>
          <t>markStudentNotificationRead</t>
        </is>
      </c>
      <c r="H41" s="28" t="inlineStr">
        <is>
          <t>student.ts</t>
        </is>
      </c>
      <c r="I41" s="28" t="inlineStr">
        <is>
          <t>جاهز</t>
        </is>
      </c>
      <c r="J41" s="28" t="inlineStr">
        <is>
          <t>(FR-S12)</t>
        </is>
      </c>
      <c r="K41" s="28" t="inlineStr">
        <is>
          <t>لا</t>
        </is>
      </c>
      <c r="L41" s="28" t="inlineStr">
        <is>
          <t>—</t>
        </is>
      </c>
      <c r="M41" s="49" t="inlineStr">
        <is>
          <t>موجود ومطابق</t>
        </is>
      </c>
      <c r="N41" s="28" t="inlineStr">
        <is>
          <t>StudentController.MarkNotificationRead</t>
        </is>
      </c>
      <c r="O41" s="28" t="inlineStr">
        <is>
          <t>OperationResult</t>
        </is>
      </c>
      <c r="P41" s="28" t="n">
        <v/>
      </c>
    </row>
    <row r="42" ht="42" customHeight="1" s="26">
      <c r="A42" s="28" t="n">
        <v>41</v>
      </c>
      <c r="B42" s="28" t="inlineStr">
        <is>
          <t>Teacher</t>
        </is>
      </c>
      <c r="C42" s="28" t="inlineStr">
        <is>
          <t>POST</t>
        </is>
      </c>
      <c r="D42" s="28" t="inlineStr">
        <is>
          <t>/api/Teacher/Search</t>
        </is>
      </c>
      <c r="E42" s="28" t="inlineStr">
        <is>
          <t>body: TeacherSearchFilterDto</t>
        </is>
      </c>
      <c r="F42" s="28" t="inlineStr">
        <is>
          <t>غير موثّق</t>
        </is>
      </c>
      <c r="G42" s="28" t="inlineStr">
        <is>
          <t>searchTeachers</t>
        </is>
      </c>
      <c r="H42" s="28" t="inlineStr">
        <is>
          <t>teachers.ts</t>
        </is>
      </c>
      <c r="I42" s="28" t="inlineStr">
        <is>
          <t>جاهز</t>
        </is>
      </c>
      <c r="J42" s="28" t="inlineStr">
        <is>
          <t>(عام)</t>
        </is>
      </c>
      <c r="K42" s="28" t="inlineStr">
        <is>
          <t>لا</t>
        </is>
      </c>
      <c r="L42" s="28" t="inlineStr">
        <is>
          <t>—</t>
        </is>
      </c>
      <c r="M42" s="49" t="inlineStr">
        <is>
          <t>موجود ومطابق</t>
        </is>
      </c>
      <c r="N42" s="28" t="inlineStr">
        <is>
          <t>TeacherController.Search</t>
        </is>
      </c>
      <c r="O42" s="28" t="inlineStr">
        <is>
          <t>TeacherSearchFilterDto</t>
        </is>
      </c>
      <c r="P42" s="28" t="n">
        <v/>
      </c>
    </row>
    <row r="43" ht="42" customHeight="1" s="26">
      <c r="A43" s="28" t="n">
        <v>42</v>
      </c>
      <c r="B43" s="28" t="inlineStr">
        <is>
          <t>Teacher</t>
        </is>
      </c>
      <c r="C43" s="28" t="inlineStr">
        <is>
          <t>GET</t>
        </is>
      </c>
      <c r="D43" s="28" t="inlineStr">
        <is>
          <t>/api/Teacher/PublicProfile</t>
        </is>
      </c>
      <c r="E43" s="28" t="inlineStr">
        <is>
          <t>query: id</t>
        </is>
      </c>
      <c r="F43" s="28" t="inlineStr">
        <is>
          <t>غير موثّق</t>
        </is>
      </c>
      <c r="G43" s="28" t="inlineStr">
        <is>
          <t>getTeacherPublicProfile</t>
        </is>
      </c>
      <c r="H43" s="28" t="inlineStr">
        <is>
          <t>teachers.ts</t>
        </is>
      </c>
      <c r="I43" s="28" t="inlineStr">
        <is>
          <t>جاهز</t>
        </is>
      </c>
      <c r="J43" s="28" t="inlineStr">
        <is>
          <t>WP-S1</t>
        </is>
      </c>
      <c r="K43" s="28" t="inlineStr">
        <is>
          <t>لا</t>
        </is>
      </c>
      <c r="L43" s="28" t="inlineStr">
        <is>
          <t>—</t>
        </is>
      </c>
      <c r="M43" s="49" t="inlineStr">
        <is>
          <t>موجود ومطابق</t>
        </is>
      </c>
      <c r="N43" s="28" t="inlineStr">
        <is>
          <t>TeacherController.PublicProfile</t>
        </is>
      </c>
      <c r="O43" s="28" t="inlineStr">
        <is>
          <t>Public profile</t>
        </is>
      </c>
      <c r="P43" s="28" t="inlineStr">
        <is>
          <t>الأسماء فقط للمواد/الصفوف (بدون IDs)</t>
        </is>
      </c>
    </row>
    <row r="44" ht="42" customHeight="1" s="26">
      <c r="A44" s="28" t="n">
        <v>43</v>
      </c>
      <c r="B44" s="28" t="inlineStr">
        <is>
          <t>Teacher</t>
        </is>
      </c>
      <c r="C44" s="28" t="inlineStr">
        <is>
          <t>GET</t>
        </is>
      </c>
      <c r="D44" s="28" t="inlineStr">
        <is>
          <t>/api/Teacher/Availability</t>
        </is>
      </c>
      <c r="E44" s="28" t="inlineStr">
        <is>
          <t>query: teacherId, mode, date</t>
        </is>
      </c>
      <c r="F44" s="28" t="inlineStr">
        <is>
          <t>غير موثّق</t>
        </is>
      </c>
      <c r="G44" s="28" t="inlineStr">
        <is>
          <t>getTeacherAvailability</t>
        </is>
      </c>
      <c r="H44" s="28" t="inlineStr">
        <is>
          <t>teachers.ts</t>
        </is>
      </c>
      <c r="I44" s="28" t="inlineStr">
        <is>
          <t>جاهز</t>
        </is>
      </c>
      <c r="J44" s="28" t="inlineStr">
        <is>
          <t>WP-S1</t>
        </is>
      </c>
      <c r="K44" s="28" t="inlineStr">
        <is>
          <t>لا</t>
        </is>
      </c>
      <c r="L44" s="28" t="inlineStr">
        <is>
          <t>—</t>
        </is>
      </c>
      <c r="M44" s="49" t="inlineStr">
        <is>
          <t>موجود ومطابق</t>
        </is>
      </c>
      <c r="N44" s="28" t="inlineStr">
        <is>
          <t>TeacherController.Availability</t>
        </is>
      </c>
      <c r="O44" s="28" t="inlineStr">
        <is>
          <t>TeacherAvailability</t>
        </is>
      </c>
      <c r="P44" s="28" t="n">
        <v/>
      </c>
    </row>
    <row r="45" ht="42" customHeight="1" s="26">
      <c r="A45" s="28" t="n">
        <v>44</v>
      </c>
      <c r="B45" s="28" t="inlineStr">
        <is>
          <t>Teacher</t>
        </is>
      </c>
      <c r="C45" s="28" t="inlineStr">
        <is>
          <t>POST</t>
        </is>
      </c>
      <c r="D45" s="28" t="inlineStr">
        <is>
          <t>/api/Teacher/SetAvailability</t>
        </is>
      </c>
      <c r="E45" s="28" t="inlineStr">
        <is>
          <t>body: slots[...]</t>
        </is>
      </c>
      <c r="F45" s="28" t="inlineStr">
        <is>
          <t>OperationResult</t>
        </is>
      </c>
      <c r="G45" s="28" t="inlineStr">
        <is>
          <t>setMyTeacherAvailability</t>
        </is>
      </c>
      <c r="H45" s="28" t="inlineStr">
        <is>
          <t>teachers.ts</t>
        </is>
      </c>
      <c r="I45" s="28" t="inlineStr">
        <is>
          <t>جاهز</t>
        </is>
      </c>
      <c r="J45" s="28" t="inlineStr">
        <is>
          <t>(FR-T09)</t>
        </is>
      </c>
      <c r="K45" s="28" t="inlineStr">
        <is>
          <t>لا</t>
        </is>
      </c>
      <c r="L45" s="28" t="inlineStr">
        <is>
          <t>—</t>
        </is>
      </c>
      <c r="M45" s="49" t="inlineStr">
        <is>
          <t>موجود ومطابق</t>
        </is>
      </c>
      <c r="N45" s="28" t="inlineStr">
        <is>
          <t>TeacherController.SetAvailability</t>
        </is>
      </c>
      <c r="O45" s="28" t="inlineStr">
        <is>
          <t>OperationResult</t>
        </is>
      </c>
      <c r="P45" s="28" t="n">
        <v/>
      </c>
    </row>
    <row r="46" ht="42" customHeight="1" s="26">
      <c r="A46" s="28" t="n">
        <v>45</v>
      </c>
      <c r="B46" s="28" t="inlineStr">
        <is>
          <t>Teacher</t>
        </is>
      </c>
      <c r="C46" s="28" t="inlineStr">
        <is>
          <t>POST</t>
        </is>
      </c>
      <c r="D46" s="28" t="inlineStr">
        <is>
          <t>/api/Teacher/UpdateProfile</t>
        </is>
      </c>
      <c r="E46" s="28" t="inlineStr">
        <is>
          <t>body: TeacherProfileInputDto</t>
        </is>
      </c>
      <c r="F46" s="28" t="inlineStr">
        <is>
          <t>OperationResult</t>
        </is>
      </c>
      <c r="G46" s="28" t="inlineStr">
        <is>
          <t>updateMyTeacherProfile</t>
        </is>
      </c>
      <c r="H46" s="28" t="inlineStr">
        <is>
          <t>teachers.ts</t>
        </is>
      </c>
      <c r="I46" s="28" t="inlineStr">
        <is>
          <t>جاهز</t>
        </is>
      </c>
      <c r="J46" s="28" t="inlineStr">
        <is>
          <t>(FR-T08)</t>
        </is>
      </c>
      <c r="K46" s="28" t="inlineStr">
        <is>
          <t>لا</t>
        </is>
      </c>
      <c r="L46" s="28" t="inlineStr">
        <is>
          <t>—</t>
        </is>
      </c>
      <c r="M46" s="49" t="inlineStr">
        <is>
          <t>موجود ومطابق</t>
        </is>
      </c>
      <c r="N46" s="28" t="inlineStr">
        <is>
          <t>TeacherController.UpdateProfile</t>
        </is>
      </c>
      <c r="O46" s="28" t="inlineStr">
        <is>
          <t>TeacherProfileInputDto</t>
        </is>
      </c>
      <c r="P46" s="28" t="n">
        <v/>
      </c>
    </row>
    <row r="47" ht="42" customHeight="1" s="26">
      <c r="A47" s="28" t="n">
        <v>46</v>
      </c>
      <c r="B47" s="28" t="inlineStr">
        <is>
          <t>Teacher</t>
        </is>
      </c>
      <c r="C47" s="28" t="inlineStr">
        <is>
          <t>GET</t>
        </is>
      </c>
      <c r="D47" s="28" t="inlineStr">
        <is>
          <t>/api/Teacher/CreateEditModal</t>
        </is>
      </c>
      <c r="E47" s="28" t="inlineStr">
        <is>
          <t>query: id</t>
        </is>
      </c>
      <c r="F47" s="28" t="inlineStr">
        <is>
          <t>غير موثّق</t>
        </is>
      </c>
      <c r="G47" s="28" t="inlineStr">
        <is>
          <t>getGradesList</t>
        </is>
      </c>
      <c r="H47" s="28" t="inlineStr">
        <is>
          <t>teachers.ts</t>
        </is>
      </c>
      <c r="I47" s="50" t="inlineStr">
        <is>
          <t>يحتاج تحقق</t>
        </is>
      </c>
      <c r="J47" s="28" t="inlineStr">
        <is>
          <t>WP-T1, S1</t>
        </is>
      </c>
      <c r="K47" s="28" t="inlineStr">
        <is>
          <t>نعم</t>
        </is>
      </c>
      <c r="L47" s="28" t="inlineStr">
        <is>
          <t>لا</t>
        </is>
      </c>
      <c r="M47" s="28" t="inlineStr">
        <is>
          <t>موجود؛ محتوى الـModal يحدد Teacher + Grades فقط</t>
        </is>
      </c>
      <c r="N47" s="28" t="inlineStr">
        <is>
          <t>TeacherController.CreateEditModal</t>
        </is>
      </c>
      <c r="O47" s="28" t="inlineStr">
        <is>
          <t>لا يعيد Subject list مباشرة</t>
        </is>
      </c>
      <c r="P47" s="28" t="inlineStr">
        <is>
          <t>مصدر محتمل للصفوف والمواد (Q-04)</t>
        </is>
      </c>
    </row>
    <row r="48" ht="42" customHeight="1" s="26">
      <c r="A48" s="28" t="n">
        <v>47</v>
      </c>
      <c r="B48" s="28" t="inlineStr">
        <is>
          <t>Constant</t>
        </is>
      </c>
      <c r="C48" s="28" t="inlineStr">
        <is>
          <t>POST</t>
        </is>
      </c>
      <c r="D48" s="28" t="inlineStr">
        <is>
          <t>/api/Constant/GetAll</t>
        </is>
      </c>
      <c r="E48" s="28" t="inlineStr">
        <is>
          <t>body: DataTable</t>
        </is>
      </c>
      <c r="F48" s="28" t="inlineStr">
        <is>
          <t>غير موثّق</t>
        </is>
      </c>
      <c r="G48" s="28" t="inlineStr">
        <is>
          <t>(admin-constants.ts)</t>
        </is>
      </c>
      <c r="H48" s="28" t="inlineStr">
        <is>
          <t>admin-constants.ts</t>
        </is>
      </c>
      <c r="I48" s="50" t="inlineStr">
        <is>
          <t>يحتاج تحقق</t>
        </is>
      </c>
      <c r="J48" s="28" t="inlineStr">
        <is>
          <t>WP-T1, S1</t>
        </is>
      </c>
      <c r="K48" s="28" t="inlineStr">
        <is>
          <t>نعم</t>
        </is>
      </c>
      <c r="L48" s="28" t="inlineStr">
        <is>
          <t>لا</t>
        </is>
      </c>
      <c r="M48" s="28" t="inlineStr">
        <is>
          <t>موجود</t>
        </is>
      </c>
      <c r="N48" s="28" t="inlineStr">
        <is>
          <t>ConstantController.GetAll</t>
        </is>
      </c>
      <c r="O48" s="28" t="inlineStr">
        <is>
          <t>يدعم DataTableRequestDto</t>
        </is>
      </c>
      <c r="P48" s="28" t="inlineStr">
        <is>
          <t>مصدر محتمل لـ subjectId/categoryId (Q-04)</t>
        </is>
      </c>
    </row>
    <row r="49" ht="42" customHeight="1" s="26">
      <c r="A49" s="28" t="n">
        <v>48</v>
      </c>
      <c r="B49" s="28" t="inlineStr">
        <is>
          <t>Wallet</t>
        </is>
      </c>
      <c r="C49" s="28" t="inlineStr">
        <is>
          <t>GET</t>
        </is>
      </c>
      <c r="D49" s="28" t="inlineStr">
        <is>
          <t>/api/Wallet/MyWallet</t>
        </is>
      </c>
      <c r="E49" s="28" t="inlineStr">
        <is>
          <t>—</t>
        </is>
      </c>
      <c r="F49" s="28" t="inlineStr">
        <is>
          <t>غير موثّق (النوع بالكود)</t>
        </is>
      </c>
      <c r="G49" s="28" t="inlineStr">
        <is>
          <t>getMyWallet</t>
        </is>
      </c>
      <c r="H49" s="28" t="inlineStr">
        <is>
          <t>wallet.ts</t>
        </is>
      </c>
      <c r="I49" s="28" t="inlineStr">
        <is>
          <t>جاهز</t>
        </is>
      </c>
      <c r="J49" s="28" t="inlineStr">
        <is>
          <t>WP-S1</t>
        </is>
      </c>
      <c r="K49" s="28" t="inlineStr">
        <is>
          <t>لا</t>
        </is>
      </c>
      <c r="L49" s="28" t="inlineStr">
        <is>
          <t>—</t>
        </is>
      </c>
      <c r="M49" s="49" t="inlineStr">
        <is>
          <t>موجود ومطابق</t>
        </is>
      </c>
      <c r="N49" s="28" t="inlineStr">
        <is>
          <t>WalletController.MyWallet</t>
        </is>
      </c>
      <c r="O49" s="28" t="inlineStr">
        <is>
          <t>Wallet DTO</t>
        </is>
      </c>
      <c r="P49" s="28" t="n">
        <v/>
      </c>
    </row>
    <row r="50" ht="42" customHeight="1" s="26">
      <c r="A50" s="28" t="n">
        <v>49</v>
      </c>
      <c r="B50" s="28" t="inlineStr">
        <is>
          <t>Wallet</t>
        </is>
      </c>
      <c r="C50" s="28" t="inlineStr">
        <is>
          <t>POST</t>
        </is>
      </c>
      <c r="D50" s="28" t="inlineStr">
        <is>
          <t>/api/Wallet/GetTransactionHistory</t>
        </is>
      </c>
      <c r="E50" s="28" t="inlineStr">
        <is>
          <t>body: DataTable</t>
        </is>
      </c>
      <c r="F50" s="28" t="inlineStr">
        <is>
          <t>غير موثّق</t>
        </is>
      </c>
      <c r="G50" s="28" t="inlineStr">
        <is>
          <t>getTransactionHistory</t>
        </is>
      </c>
      <c r="H50" s="28" t="inlineStr">
        <is>
          <t>wallet.ts</t>
        </is>
      </c>
      <c r="I50" s="28" t="inlineStr">
        <is>
          <t>جاهز</t>
        </is>
      </c>
      <c r="J50" s="28" t="inlineStr">
        <is>
          <t>WP-W1, W2</t>
        </is>
      </c>
      <c r="K50" s="28" t="inlineStr">
        <is>
          <t>لا</t>
        </is>
      </c>
      <c r="L50" s="28" t="inlineStr">
        <is>
          <t>—</t>
        </is>
      </c>
      <c r="M50" s="49" t="inlineStr">
        <is>
          <t>موجود ومطابق</t>
        </is>
      </c>
      <c r="N50" s="28" t="inlineStr">
        <is>
          <t>WalletController.GetTransactionHistory</t>
        </is>
      </c>
      <c r="O50" s="28" t="inlineStr">
        <is>
          <t>DataTable response</t>
        </is>
      </c>
      <c r="P50" s="28" t="inlineStr">
        <is>
          <t>بلا فلتر نوع من الباك اند</t>
        </is>
      </c>
    </row>
    <row r="51" ht="42" customHeight="1" s="26">
      <c r="A51" s="28" t="n">
        <v>50</v>
      </c>
      <c r="B51" s="28" t="inlineStr">
        <is>
          <t>Wallet</t>
        </is>
      </c>
      <c r="C51" s="28" t="inlineStr">
        <is>
          <t>POST</t>
        </is>
      </c>
      <c r="D51" s="28" t="inlineStr">
        <is>
          <t>/api/Wallet/SubmitTopUpRequest</t>
        </is>
      </c>
      <c r="E51" s="28" t="inlineStr">
        <is>
          <t>form: Amount, BankReferenceNo, ReceiptFile</t>
        </is>
      </c>
      <c r="F51" s="28" t="inlineStr">
        <is>
          <t>OperationResult</t>
        </is>
      </c>
      <c r="G51" s="28" t="inlineStr">
        <is>
          <t>submitTopUpRequest</t>
        </is>
      </c>
      <c r="H51" s="28" t="inlineStr">
        <is>
          <t>wallet.ts</t>
        </is>
      </c>
      <c r="I51" s="28" t="inlineStr">
        <is>
          <t>جاهز</t>
        </is>
      </c>
      <c r="J51" s="28" t="inlineStr">
        <is>
          <t>(FR-W01)</t>
        </is>
      </c>
      <c r="K51" s="28" t="inlineStr">
        <is>
          <t>لا</t>
        </is>
      </c>
      <c r="L51" s="28" t="inlineStr">
        <is>
          <t>—</t>
        </is>
      </c>
      <c r="M51" s="49" t="inlineStr">
        <is>
          <t>موجود ومطابق</t>
        </is>
      </c>
      <c r="N51" s="28" t="inlineStr">
        <is>
          <t>WalletController.SubmitTopUpRequest</t>
        </is>
      </c>
      <c r="O51" s="28" t="inlineStr">
        <is>
          <t>OperationResult</t>
        </is>
      </c>
      <c r="P51" s="28" t="n">
        <v/>
      </c>
    </row>
    <row r="52" ht="42" customHeight="1" s="26">
      <c r="A52" s="28" t="n">
        <v>51</v>
      </c>
      <c r="B52" s="28" t="inlineStr">
        <is>
          <t>Wallet</t>
        </is>
      </c>
      <c r="C52" s="28" t="inlineStr">
        <is>
          <t>POST</t>
        </is>
      </c>
      <c r="D52" s="28" t="inlineStr">
        <is>
          <t>/api/Wallet/SubmitWithdrawalRequest</t>
        </is>
      </c>
      <c r="E52" s="28" t="inlineStr">
        <is>
          <t>body: amount, bankIBAN, bankName, accountHolderName</t>
        </is>
      </c>
      <c r="F52" s="28" t="inlineStr">
        <is>
          <t>OperationResult</t>
        </is>
      </c>
      <c r="G52" s="28" t="inlineStr">
        <is>
          <t>submitWithdrawalRequest</t>
        </is>
      </c>
      <c r="H52" s="28" t="inlineStr">
        <is>
          <t>wallet.ts</t>
        </is>
      </c>
      <c r="I52" s="28" t="inlineStr">
        <is>
          <t>جاهز</t>
        </is>
      </c>
      <c r="J52" s="28" t="inlineStr">
        <is>
          <t>(FR-W04)</t>
        </is>
      </c>
      <c r="K52" s="28" t="inlineStr">
        <is>
          <t>لا</t>
        </is>
      </c>
      <c r="L52" s="28" t="inlineStr">
        <is>
          <t>—</t>
        </is>
      </c>
      <c r="M52" s="49" t="inlineStr">
        <is>
          <t>موجود ومطابق</t>
        </is>
      </c>
      <c r="N52" s="28" t="inlineStr">
        <is>
          <t>WalletController.SubmitWithdrawalRequest</t>
        </is>
      </c>
      <c r="O52" s="28" t="inlineStr">
        <is>
          <t>OperationResult</t>
        </is>
      </c>
      <c r="P52" s="28" t="n">
        <v/>
      </c>
    </row>
    <row r="53" ht="42" customHeight="1" s="26">
      <c r="A53" s="28" t="n">
        <v>52</v>
      </c>
      <c r="B53" s="28" t="inlineStr">
        <is>
          <t>Wallet</t>
        </is>
      </c>
      <c r="C53" s="28" t="inlineStr">
        <is>
          <t>*</t>
        </is>
      </c>
      <c r="D53" s="28" t="inlineStr">
        <is>
          <t>/api/Wallet/{GetPending*,VerifyTopUpRequest,DecideWithdrawalRequest,CompleteWithdrawal,GetReceiptImage}</t>
        </is>
      </c>
      <c r="E53" s="28" t="inlineStr">
        <is>
          <t>أدمن</t>
        </is>
      </c>
      <c r="F53" s="28" t="inlineStr">
        <is>
          <t>—</t>
        </is>
      </c>
      <c r="G53" s="28" t="inlineStr">
        <is>
          <t>(wallet.ts)</t>
        </is>
      </c>
      <c r="H53" s="28" t="inlineStr">
        <is>
          <t>wallet.ts</t>
        </is>
      </c>
      <c r="I53" s="28" t="inlineStr">
        <is>
          <t>جاهز</t>
        </is>
      </c>
      <c r="J53" s="28" t="inlineStr">
        <is>
          <t>(أدمن)</t>
        </is>
      </c>
      <c r="K53" s="28" t="inlineStr">
        <is>
          <t>لا</t>
        </is>
      </c>
      <c r="L53" s="28" t="inlineStr">
        <is>
          <t>—</t>
        </is>
      </c>
      <c r="M53" s="49" t="inlineStr">
        <is>
          <t>موجود ومطابق</t>
        </is>
      </c>
      <c r="N53" s="28" t="inlineStr">
        <is>
          <t>WalletController admin wallet endpoints</t>
        </is>
      </c>
      <c r="O53" s="28" t="inlineStr">
        <is>
          <t>Admin operations</t>
        </is>
      </c>
      <c r="P53" s="28" t="inlineStr">
        <is>
          <t>خارج النطاق</t>
        </is>
      </c>
    </row>
    <row r="54" ht="42" customHeight="1" s="26">
      <c r="A54" s="28" t="n">
        <v>53</v>
      </c>
      <c r="B54" s="28" t="inlineStr">
        <is>
          <t>Auth/User/UserPermission/Page</t>
        </is>
      </c>
      <c r="C54" s="28" t="inlineStr">
        <is>
          <t>*</t>
        </is>
      </c>
      <c r="D54" s="28" t="inlineStr">
        <is>
          <t>/api/Auth/*, /api/User/*, /api/UserPermission/*, /api/Page/*</t>
        </is>
      </c>
      <c r="E54" s="28" t="inlineStr">
        <is>
          <t>—</t>
        </is>
      </c>
      <c r="F54" s="28" t="inlineStr">
        <is>
          <t>—</t>
        </is>
      </c>
      <c r="G54" s="28" t="inlineStr">
        <is>
          <t>—</t>
        </is>
      </c>
      <c r="H54" s="28" t="inlineStr">
        <is>
          <t>—</t>
        </is>
      </c>
      <c r="I54" s="28" t="inlineStr">
        <is>
          <t>خارج النطاق</t>
        </is>
      </c>
      <c r="J54" s="28" t="inlineStr">
        <is>
          <t>—</t>
        </is>
      </c>
      <c r="K54" s="28" t="inlineStr">
        <is>
          <t>لا</t>
        </is>
      </c>
      <c r="L54" s="28" t="inlineStr">
        <is>
          <t>—</t>
        </is>
      </c>
      <c r="M54" s="28" t="inlineStr">
        <is>
          <t>موجود خارج نطاق FR الحالي</t>
        </is>
      </c>
      <c r="N54" s="28" t="inlineStr">
        <is>
          <t>Auth/User/UserPermission/Page controllers</t>
        </is>
      </c>
      <c r="O54" s="28" t="inlineStr">
        <is>
          <t>لا يحتاج ضمن مصفوفة FR الحالية</t>
        </is>
      </c>
      <c r="P54" s="28" t="inlineStr">
        <is>
          <t>لم تُفحص ضمن هذه الخطة</t>
        </is>
      </c>
    </row>
  </sheetData>
  <autoFilter ref="A1:P5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0" customWidth="1" style="26" min="1" max="1"/>
    <col width="75" customWidth="1" style="26" min="2" max="2"/>
    <col width="55" customWidth="1" style="26" min="3" max="3"/>
    <col width="22" customWidth="1" style="26" min="4" max="4"/>
    <col width="14" customWidth="1" style="26" min="5" max="5"/>
    <col width="55" customWidth="1" style="26" min="6" max="6"/>
    <col width="18" customWidth="1" style="26" min="7" max="7"/>
    <col width="14" customWidth="1" style="26" min="8" max="8"/>
    <col width="28" customWidth="1" style="26" min="9" max="9"/>
    <col width="90" customWidth="1" style="26" min="10" max="10"/>
    <col width="55" customWidth="1" style="26" min="11" max="11"/>
  </cols>
  <sheetData>
    <row r="1" ht="42" customHeight="1" s="26">
      <c r="A1" s="48" t="inlineStr">
        <is>
          <t>ID</t>
        </is>
      </c>
      <c r="B1" s="48" t="inlineStr">
        <is>
          <t>السؤال</t>
        </is>
      </c>
      <c r="C1" s="48" t="inlineStr">
        <is>
          <t>لماذا يهم</t>
        </is>
      </c>
      <c r="D1" s="48" t="inlineStr">
        <is>
          <t>WPs المتأثرة</t>
        </is>
      </c>
      <c r="E1" s="48" t="inlineStr">
        <is>
          <t>الخطورة</t>
        </is>
      </c>
      <c r="F1" s="48" t="inlineStr">
        <is>
          <t>الافتراض الأصلي</t>
        </is>
      </c>
      <c r="G1" s="48" t="inlineStr">
        <is>
          <t>من يجيب</t>
        </is>
      </c>
      <c r="H1" s="48" t="inlineStr">
        <is>
          <t>الحالة في Excel</t>
        </is>
      </c>
      <c r="I1" s="48" t="inlineStr">
        <is>
          <t>الحكم من Backend</t>
        </is>
      </c>
      <c r="J1" s="48" t="inlineStr">
        <is>
          <t>الإجابة المبنية على الكود</t>
        </is>
      </c>
      <c r="K1" s="48" t="inlineStr">
        <is>
          <t>الدليل</t>
        </is>
      </c>
    </row>
    <row r="2" ht="42" customHeight="1" s="26">
      <c r="A2" s="28" t="inlineStr">
        <is>
          <t>Q-02</t>
        </is>
      </c>
      <c r="B2" s="28" t="inlineStr">
        <is>
          <t>كيف نعرف groupId لكل كورس؟ ما شكل رد GetById/GetMineById؟ هل للكورس أكثر من مجموعة؟</t>
        </is>
      </c>
      <c r="C2" s="28" t="inlineStr">
        <is>
          <t>ConfigureGroupSchedule وGetGroupStudents وGetSchedule تحتاج groupId</t>
        </is>
      </c>
      <c r="D2" s="28" t="inlineStr">
        <is>
          <t>WP-T1, T2, T3, T4</t>
        </is>
      </c>
      <c r="E2" s="28" t="inlineStr">
        <is>
          <t>حاجب</t>
        </is>
      </c>
      <c r="F2" s="28" t="inlineStr">
        <is>
          <t>نفترض مجموعة واحدة ويُقرأ groupId من رد GetMineById</t>
        </is>
      </c>
      <c r="G2" s="28" t="inlineStr">
        <is>
          <t>فريق الباك اند</t>
        </is>
      </c>
      <c r="H2" s="28" t="inlineStr">
        <is>
          <t>مفتوح</t>
        </is>
      </c>
      <c r="I2" s="49" t="inlineStr">
        <is>
          <t>غير محسوم بالكامل</t>
        </is>
      </c>
      <c r="J2" s="28" t="inlineStr">
        <is>
          <t>GetMineById يعيد CourseListItemDto ولا يحتوي GroupId. CreateEdit ينشئ Group تلقائيًا عند إنشاء الكورس، لكن لا يوجد endpoint مخصص لإرجاع groupId في GetMineById. يلزم DTO/endpoint أو طريقة أخرى.</t>
        </is>
      </c>
      <c r="K2" s="28" t="inlineStr">
        <is>
          <t>CourseService.Project; CourseService.CreateEditAsync</t>
        </is>
      </c>
    </row>
    <row r="3" ht="42" customHeight="1" s="26">
      <c r="A3" s="28" t="inlineStr">
        <is>
          <t>Q-03</t>
        </is>
      </c>
      <c r="B3" s="28" t="inlineStr">
        <is>
          <t>هل Course/CreateEdit يأخذ teacherId من الجلسة أم يجب أن نرسله؟ وكيف يعرف المعلم رقم Teacher.Id الخاص به؟ (هل حُلّ ربط الحساب بالمعلم؟)</t>
        </is>
      </c>
      <c r="C3" s="28" t="inlineStr">
        <is>
          <t>الـDTO يتطلب teacherId</t>
        </is>
      </c>
      <c r="D3" s="28" t="inlineStr">
        <is>
          <t>WP-T1</t>
        </is>
      </c>
      <c r="E3" s="28" t="inlineStr">
        <is>
          <t>حاجب</t>
        </is>
      </c>
      <c r="F3" s="28" t="inlineStr">
        <is>
          <t>لا نرسل teacherId إن كان الباك اند يتجاهله؛ نختبر بحساب معلم حقيقي</t>
        </is>
      </c>
      <c r="G3" s="28" t="inlineStr">
        <is>
          <t>فريق الباك اند</t>
        </is>
      </c>
      <c r="H3" s="28" t="inlineStr">
        <is>
          <t>مفتوح</t>
        </is>
      </c>
      <c r="I3" s="49" t="inlineStr">
        <is>
          <t>محسوم جزئيًا</t>
        </is>
      </c>
      <c r="J3" s="28" t="inlineStr">
        <is>
          <t>CreateEdit يتطلب teacherId، والـBackend يتحقق OwnsTeacherAsync(userId, teacherId). الربط Teacher.UserId موجود. لكن لا يوجد endpoint مخصص واضح باسم MyTeacherId؛ يجب أن توفر الواجهة teacherId من سياق حساب المعلم أو endpoint مناسب.</t>
        </is>
      </c>
      <c r="K3" s="28" t="inlineStr">
        <is>
          <t>CourseInputDto; CourseController.CreateEdit; OwnershipService</t>
        </is>
      </c>
    </row>
    <row r="4" ht="42" customHeight="1" s="26">
      <c r="A4" s="28" t="inlineStr">
        <is>
          <t>Q-04</t>
        </is>
      </c>
      <c r="B4" s="28" t="inlineStr">
        <is>
          <t>من أين نجلب قوائم المواد/التصنيفات/الصفوف (IDs)؟ Teacher/CreateEditModal أم Constant/GetAll (وبأي parentId)؟ وهل ملف المعلم العام يرجّع IDs للمواد والصفوف؟</t>
        </is>
      </c>
      <c r="C4" s="28" t="inlineStr">
        <is>
          <t>نموذج الكورس ونموذج الحجز يتطلبان subjectId/gradeId/categoryId</t>
        </is>
      </c>
      <c r="D4" s="28" t="inlineStr">
        <is>
          <t>WP-T1, S1</t>
        </is>
      </c>
      <c r="E4" s="28" t="inlineStr">
        <is>
          <t>حاجب</t>
        </is>
      </c>
      <c r="F4" s="28" t="inlineStr">
        <is>
          <t>نقرأ من Teacher/CreateEditModal ونعرض رسالة صادقة إن كانت القوائم فارغة</t>
        </is>
      </c>
      <c r="G4" s="28" t="inlineStr">
        <is>
          <t>فريق الباك اند</t>
        </is>
      </c>
      <c r="H4" s="28" t="inlineStr">
        <is>
          <t>مفتوح</t>
        </is>
      </c>
      <c r="I4" s="49" t="inlineStr">
        <is>
          <t>محسوم جزئيًا</t>
        </is>
      </c>
      <c r="J4" s="28" t="inlineStr">
        <is>
          <t>Teacher/CreateEditModal يعيد Teacher وGrades فقط. Constant/GetAll موجود لقوائم constants، لكن الكود المعروض لا يثبت parentId محدد للمواد/التصنيفات. يجب فحص/تأكيد الـconstants المطلوبة أو DTO الفعلي.</t>
        </is>
      </c>
      <c r="K4" s="28" t="inlineStr">
        <is>
          <t>TeacherController.CreateEditModal; ConstantController.GetAll</t>
        </is>
      </c>
    </row>
    <row r="5" ht="42" customHeight="1" s="26">
      <c r="A5" s="28" t="inlineStr">
        <is>
          <t>Q-05</t>
        </is>
      </c>
      <c r="B5" s="28" t="inlineStr">
        <is>
          <t>عينات JSON حقيقية لردود: Booking/MyBookings, TeacherBookings, TeacherRescheduleRequests · Student/GetBooking, GetLesson, GetCourse, Attendance, ExamResults, BookingPayment, MyRescheduleRequests · Course/GetGroupStudents, GetMineById, GetAll · Lesson/GetSchedule</t>
        </is>
      </c>
      <c r="C5" s="28" t="inlineStr">
        <is>
          <t>Swagger لا يوثّق schema لهذه الردود؛ الأنواع ستكون تخمينًا</t>
        </is>
      </c>
      <c r="D5" s="28" t="inlineStr">
        <is>
          <t>WP-00 + أغلب Wave 1</t>
        </is>
      </c>
      <c r="E5" s="28" t="inlineStr">
        <is>
          <t>حاجب</t>
        </is>
      </c>
      <c r="F5" s="28" t="inlineStr">
        <is>
          <t>أنواع متساهلة (حقول اختيارية) مع علامة TODO</t>
        </is>
      </c>
      <c r="G5" s="28" t="inlineStr">
        <is>
          <t>المستخدم (من Try it out)</t>
        </is>
      </c>
      <c r="H5" s="28" t="inlineStr">
        <is>
          <t>مفتوح</t>
        </is>
      </c>
      <c r="I5" s="49" t="inlineStr">
        <is>
          <t>غير محسوم من الكود وحده</t>
        </is>
      </c>
      <c r="J5" s="28" t="inlineStr">
        <is>
          <t>الـDTOs والخدمات موجودة لكثير من الردود، لكن لا توجد عينات JSON Runtime ضمن الـzip. لا يجوز اختراع شكل JSON النهائي.</t>
        </is>
      </c>
      <c r="K5" s="28" t="inlineStr">
        <is>
          <t>DTOs + Swagger/Excel فقط؛ لا Runtime samples</t>
        </is>
      </c>
    </row>
    <row r="6" ht="42" customHeight="1" s="26">
      <c r="A6" s="28" t="inlineStr">
        <is>
          <t>Q-06</t>
        </is>
      </c>
      <c r="B6" s="28" t="inlineStr">
        <is>
          <t>متى يُخصم مبلغ الحجز بالضبط؟ عند قبول المعلم (كما في تعليق الكود وSRS FR-T06) أم عند الإرسال؟ وماذا يحدث لو رصيد الطالب غير كافٍ عند القبول؟</t>
        </is>
      </c>
      <c r="C6" s="28" t="inlineStr">
        <is>
          <t>يحدد نص الواجهة ومنطق تنبيه الرصيد</t>
        </is>
      </c>
      <c r="D6" s="28" t="inlineStr">
        <is>
          <t>WP-S1, S2, T5, W1</t>
        </is>
      </c>
      <c r="E6" s="28" t="inlineStr">
        <is>
          <t>مهم</t>
        </is>
      </c>
      <c r="F6" s="28" t="inlineStr">
        <is>
          <t>نفترض الخصم عند قبول المعلم</t>
        </is>
      </c>
      <c r="G6" s="28" t="inlineStr">
        <is>
          <t>فريق الباك اند</t>
        </is>
      </c>
      <c r="H6" s="28" t="inlineStr">
        <is>
          <t>مفتوح</t>
        </is>
      </c>
      <c r="I6" s="49" t="inlineStr">
        <is>
          <t>محسوم</t>
        </is>
      </c>
      <c r="J6" s="28" t="inlineStr">
        <is>
          <t>الخصم عند قبول المعلم، وليس عند Submit. إذا الرصيد غير كافٍ يبقى الحجز غير مؤكد وتعود رسالة «رصيد المحفظة غير كافٍ». العمولة الافتراضية 10% إذا لم توجد إعدادات فعالة.</t>
        </is>
      </c>
      <c r="K6" s="28" t="inlineStr">
        <is>
          <t>BookingService.DecideBookingAsync</t>
        </is>
      </c>
    </row>
    <row r="7" ht="42" customHeight="1" s="26">
      <c r="A7" s="28" t="inlineStr">
        <is>
          <t>Q-07</t>
        </is>
      </c>
      <c r="B7" s="28" t="inlineStr">
        <is>
          <t>من يحق له Booking/Submit: الطالب فقط أم ولي الأمر أيضًا (باسم الابن)؟</t>
        </is>
      </c>
      <c r="C7" s="28" t="inlineStr">
        <is>
          <t>يحدد من يرى زر الحجز</t>
        </is>
      </c>
      <c r="D7" s="28" t="inlineStr">
        <is>
          <t>WP-S1</t>
        </is>
      </c>
      <c r="E7" s="28" t="inlineStr">
        <is>
          <t>مهم</t>
        </is>
      </c>
      <c r="F7" s="28" t="inlineStr">
        <is>
          <t>الطالب فقط</t>
        </is>
      </c>
      <c r="G7" s="28" t="inlineStr">
        <is>
          <t>صاحب المنتج</t>
        </is>
      </c>
      <c r="H7" s="28" t="inlineStr">
        <is>
          <t>مفتوح</t>
        </is>
      </c>
      <c r="I7" s="49" t="inlineStr">
        <is>
          <t>محسوم جزئيًا / يحتاج تشديد صلاحية</t>
        </is>
      </c>
      <c r="J7" s="28" t="inlineStr">
        <is>
          <t>Booking/Submit يأخذ studentId من ClaimTypes.NameIdentifier ولا يضع RequireUserTypes(Student) على الميثود. الخدمة تتعامل مع القيمة كمعرف طالب. لذلك المسار مصمم للطالب، لكن لا يوجد Guard صريح يمنع ولي الأمر على مستوى Controller.</t>
        </is>
      </c>
      <c r="K7" s="28" t="inlineStr">
        <is>
          <t>BookingController.Submit; BookingService.SubmitBookingRequestAsync</t>
        </is>
      </c>
    </row>
    <row r="8" ht="42" customHeight="1" s="26">
      <c r="A8" s="28" t="inlineStr">
        <is>
          <t>Q-08</t>
        </is>
      </c>
      <c r="B8" s="28" t="inlineStr">
        <is>
          <t>سياسة الإلغاء: هل يرجع الباك اند الموعد النهائي/نص السياسة أم رسالة خطأ فقط؟ وهل يوجد استرجاع للمبلغ؟</t>
        </is>
      </c>
      <c r="C8" s="28" t="inlineStr">
        <is>
          <t>FR-S14 يطلب عرض السياسة عند الرفض</t>
        </is>
      </c>
      <c r="D8" s="28" t="inlineStr">
        <is>
          <t>WP-S2</t>
        </is>
      </c>
      <c r="E8" s="28" t="inlineStr">
        <is>
          <t>مهم</t>
        </is>
      </c>
      <c r="F8" s="28" t="inlineStr">
        <is>
          <t>نعرض رسالة الباك اند كما هي</t>
        </is>
      </c>
      <c r="G8" s="28" t="inlineStr">
        <is>
          <t>فريق الباك اند</t>
        </is>
      </c>
      <c r="H8" s="28" t="inlineStr">
        <is>
          <t>مفتوح</t>
        </is>
      </c>
      <c r="I8" s="49" t="inlineStr">
        <is>
          <t>محسوم</t>
        </is>
      </c>
      <c r="J8" s="28" t="inlineStr">
        <is>
          <t>الإلغاء ممنوع بعد بدء الموعد. للطالب إذا كان الحجز Confirmed ومدفوعًا، يجب أن يكون الموعد أكثر من 24 ساعة؛ وإلا يرفض. عند الإلغاء المدفوع توجد ReverseBookingPaymentAsync لاسترجاع المبلغ/عكس القيود.</t>
        </is>
      </c>
      <c r="K8" s="28" t="inlineStr">
        <is>
          <t>BookingService.CancelBookingAsync</t>
        </is>
      </c>
    </row>
    <row r="9" ht="42" customHeight="1" s="26">
      <c r="A9" s="28" t="inlineStr">
        <is>
          <t>Q-09</t>
        </is>
      </c>
      <c r="B9" s="28" t="inlineStr">
        <is>
          <t>قواعد أهلية إعادة الجدولة (الحالات المسموحة، المهلة، عدد المرات)؟</t>
        </is>
      </c>
      <c r="C9" s="28" t="inlineStr">
        <is>
          <t>منطق إظهار الزر</t>
        </is>
      </c>
      <c r="D9" s="28" t="inlineStr">
        <is>
          <t>WP-S3</t>
        </is>
      </c>
      <c r="E9" s="28" t="inlineStr">
        <is>
          <t>مهم</t>
        </is>
      </c>
      <c r="F9" s="28" t="inlineStr">
        <is>
          <t>Confirmed ولم يبدأ فقط</t>
        </is>
      </c>
      <c r="G9" s="28" t="inlineStr">
        <is>
          <t>فريق الباك اند</t>
        </is>
      </c>
      <c r="H9" s="28" t="inlineStr">
        <is>
          <t>مفتوح</t>
        </is>
      </c>
      <c r="I9" s="49" t="inlineStr">
        <is>
          <t>محسوم</t>
        </is>
      </c>
      <c r="J9" s="28" t="inlineStr">
        <is>
          <t>إعادة الجدولة: الحجز Confirmed فقط، لم يبدأ، الموعد المقترح في المستقبل، ليس نفس الموعد، لا يوجد طلب Pending آخر، ولا يوجد تعارض. لا يظهر حد لعدد الطلبات بعد إغلاق الطلب السابق.</t>
        </is>
      </c>
      <c r="K9" s="28" t="inlineStr">
        <is>
          <t>BookingService.RequestRescheduleAsync</t>
        </is>
      </c>
    </row>
    <row r="10" ht="42" customHeight="1" s="26">
      <c r="A10" s="28" t="inlineStr">
        <is>
          <t>Q-10</t>
        </is>
      </c>
      <c r="B10" s="28" t="inlineStr">
        <is>
          <t>هل Student/GetBooking يرجع حقلًا يدل أن الحجز مُقيَّم سابقًا (isRated/rating)؟</t>
        </is>
      </c>
      <c r="C10" s="28" t="inlineStr">
        <is>
          <t>لإخفاء زر التقييم</t>
        </is>
      </c>
      <c r="D10" s="28" t="inlineStr">
        <is>
          <t>WP-S4</t>
        </is>
      </c>
      <c r="E10" s="28" t="inlineStr">
        <is>
          <t>عادي</t>
        </is>
      </c>
      <c r="F10" s="28" t="inlineStr">
        <is>
          <t>نُظهر الزر لـ Completed ونعرض رسالة الباك اند عند التكرار</t>
        </is>
      </c>
      <c r="G10" s="28" t="inlineStr">
        <is>
          <t>فريق الباك اند</t>
        </is>
      </c>
      <c r="H10" s="28" t="inlineStr">
        <is>
          <t>مفتوح</t>
        </is>
      </c>
      <c r="I10" s="49" t="inlineStr">
        <is>
          <t>محسوم</t>
        </is>
      </c>
      <c r="J10" s="28" t="inlineStr">
        <is>
          <t>BookingDto لا يحتوي isRated/rating. لكن RateTeacherAsync يفحص TeacherRating حسب BookingId ويمنع التقييم المكرر. الواجهة لا تستطيع معرفة الحالة مسبقًا من DTO الحالي إلا بطلب/سلوك بديل.</t>
        </is>
      </c>
      <c r="K10" s="28" t="inlineStr">
        <is>
          <t>BookingDtos; BookingService.RateTeacherAsync</t>
        </is>
      </c>
    </row>
    <row r="11" ht="42" customHeight="1" s="26">
      <c r="A11" s="28" t="inlineStr">
        <is>
          <t>Q-11</t>
        </is>
      </c>
      <c r="B11" s="28" t="inlineStr">
        <is>
          <t>عدد الإشعارات غير المقروءة بـ Parent/MyChildren: هل هو لكل ابن أم لحساب ولي الأمر؟ وهل يوجد endpoint لقائمة إشعارات ولي الأمر؟ (غير موجود بـ Swagger)</t>
        </is>
      </c>
      <c r="C11" s="28" t="inlineStr">
        <is>
          <t>SRS FR-P11 يطلب عدد إشعارات حساب ولي الأمر</t>
        </is>
      </c>
      <c r="D11" s="28" t="inlineStr">
        <is>
          <t>WP-P1</t>
        </is>
      </c>
      <c r="E11" s="28" t="inlineStr">
        <is>
          <t>مهم</t>
        </is>
      </c>
      <c r="F11" s="28" t="inlineStr">
        <is>
          <t>نعرض عدد الابن النشط + إجمالي الأبناء بتسمية واضحة</t>
        </is>
      </c>
      <c r="G11" s="28" t="inlineStr">
        <is>
          <t>فريق الباك اند</t>
        </is>
      </c>
      <c r="H11" s="28" t="inlineStr">
        <is>
          <t>مفتوح</t>
        </is>
      </c>
      <c r="I11" s="49" t="inlineStr">
        <is>
          <t>محسوم جزئيًا</t>
        </is>
      </c>
      <c r="J11" s="28" t="inlineStr">
        <is>
          <t>MyChildren يحسب UnreadNotificationsCount على حساب ولي الأمر نفسه، وليس لكل ابن فعليًا، ولا يوجد Parent/Notifications endpoint في Controller.</t>
        </is>
      </c>
      <c r="K11" s="28" t="inlineStr">
        <is>
          <t>ParentService.GetMyChildrenAsync</t>
        </is>
      </c>
    </row>
    <row r="12" ht="42" customHeight="1" s="26">
      <c r="A12" s="28" t="inlineStr">
        <is>
          <t>Q-12</t>
        </is>
      </c>
      <c r="B12" s="28" t="inlineStr">
        <is>
          <t>هل يوجد endpoint/حقل لنسبة العمولة أو ملخص الأرباح؟ (غير موجود بـ Swagger)</t>
        </is>
      </c>
      <c r="C12" s="28" t="inlineStr">
        <is>
          <t>FR-W03b: عرض صافي الإيداع</t>
        </is>
      </c>
      <c r="D12" s="28" t="inlineStr">
        <is>
          <t>WP-W2</t>
        </is>
      </c>
      <c r="E12" s="28" t="inlineStr">
        <is>
          <t>عادي</t>
        </is>
      </c>
      <c r="F12" s="28" t="inlineStr">
        <is>
          <t>لا نعرض أرقام عمولة؛ نص توضيحي فقط</t>
        </is>
      </c>
      <c r="G12" s="28" t="inlineStr">
        <is>
          <t>فريق الباك اند</t>
        </is>
      </c>
      <c r="H12" s="28" t="inlineStr">
        <is>
          <t>مفتوح</t>
        </is>
      </c>
      <c r="I12" s="49" t="inlineStr">
        <is>
          <t>محسوم جزئيًا</t>
        </is>
      </c>
      <c r="J12" s="28" t="inlineStr">
        <is>
          <t>يوجد PlatformCommissionController.Current/History لكن محمي للأدمن فقط. لا يوجد Teacher earnings/commission summary endpoint واضح؛ صافي الأرباح يسجل WalletTransaction من نوع InstructorCredit.</t>
        </is>
      </c>
      <c r="K12" s="28" t="inlineStr">
        <is>
          <t>PlatformCommissionController; BookingService.DecideBookingAsync</t>
        </is>
      </c>
    </row>
    <row r="13" ht="42" customHeight="1" s="26">
      <c r="A13" s="28" t="inlineStr">
        <is>
          <t>Q-14</t>
        </is>
      </c>
      <c r="B13" s="28" t="inlineStr">
        <is>
          <t>هل يتلقى المعلم إشعارات (طلب حجز جديد/طلب إعادة جدولة)؟ لا يوجد Teacher/Notifications بـ Swagger</t>
        </is>
      </c>
      <c r="C13" s="28" t="inlineStr">
        <is>
          <t>FR-T10 Trigger: «يستلم إشعارًا جديدًا»</t>
        </is>
      </c>
      <c r="D13" s="28" t="inlineStr">
        <is>
          <t>WP-T5</t>
        </is>
      </c>
      <c r="E13" s="28" t="inlineStr">
        <is>
          <t>عادي</t>
        </is>
      </c>
      <c r="F13" s="28" t="inlineStr">
        <is>
          <t>اعتماد قائمة الطلبات + شارة عدد على لوحة المعلم</t>
        </is>
      </c>
      <c r="G13" s="28" t="inlineStr">
        <is>
          <t>فريق الباك اند</t>
        </is>
      </c>
      <c r="H13" s="28" t="inlineStr">
        <is>
          <t>مفتوح</t>
        </is>
      </c>
      <c r="I13" s="49" t="inlineStr">
        <is>
          <t>محسوم</t>
        </is>
      </c>
      <c r="J13" s="28" t="inlineStr">
        <is>
          <t>عند Submit ينشئ Backend إشعارًا للمعلم «طلب حجز جديد»، وعند RequestReschedule ينشئ إشعارًا للمعلم بطلب إعادة الجدولة. لا يوجد Teacher/Notifications عام، لكن notifications تُنشأ.</t>
        </is>
      </c>
      <c r="K13" s="28" t="inlineStr">
        <is>
          <t>BookingService.SubmitBookingRequestAsync; RequestRescheduleAsync</t>
        </is>
      </c>
    </row>
    <row r="14" ht="42" customHeight="1" s="26">
      <c r="A14" s="28" t="inlineStr">
        <is>
          <t>Q-15</t>
        </is>
      </c>
      <c r="B14" s="28" t="inlineStr">
        <is>
          <t>ترتيب أيام الأسبوع في الواجهة: يبدأ بالسبت أم الأحد؟ (DayOfWeek: 0=الأحد)</t>
        </is>
      </c>
      <c r="C14" s="28" t="inlineStr">
        <is>
          <t>اتساق الجداول</t>
        </is>
      </c>
      <c r="D14" s="28" t="inlineStr">
        <is>
          <t>كل WP فيها أيام</t>
        </is>
      </c>
      <c r="E14" s="28" t="inlineStr">
        <is>
          <t>عادي</t>
        </is>
      </c>
      <c r="F14" s="28" t="inlineStr">
        <is>
          <t>السبت أولًا (عُرف المنطقة) مع التخزين الرقمي كما هو</t>
        </is>
      </c>
      <c r="G14" s="28" t="inlineStr">
        <is>
          <t>صاحب المنتج</t>
        </is>
      </c>
      <c r="H14" s="28" t="inlineStr">
        <is>
          <t>مفتوح</t>
        </is>
      </c>
      <c r="I14" s="49" t="inlineStr">
        <is>
          <t>غير محسوم من Backend</t>
        </is>
      </c>
      <c r="J14" s="28" t="inlineStr">
        <is>
          <t>DayOfWeek في .NET = Sunday 0. لا يوجد في Backend قرار ترتيب العرض؛ ترتيب السبت أولًا قرار Frontend/UX.</t>
        </is>
      </c>
      <c r="K14" s="28" t="inlineStr">
        <is>
          <t>System.DayOfWeek + DTOs</t>
        </is>
      </c>
    </row>
    <row r="15" ht="42" customHeight="1" s="26">
      <c r="A15" s="28" t="inlineStr">
        <is>
          <t>Q-17</t>
        </is>
      </c>
      <c r="B15" s="28" t="inlineStr">
        <is>
          <t>حسابات اختبار جاهزة: معلم مربوط بصف Teacher، طالب مربوط بملف Student، ولي أمر له ابن، وبيانات حضور/امتحانات</t>
        </is>
      </c>
      <c r="C15" s="28" t="inlineStr">
        <is>
          <t>بدونها لا يمكن تنفيذ UAT/e2e</t>
        </is>
      </c>
      <c r="D15" s="28" t="inlineStr">
        <is>
          <t>WP-QA</t>
        </is>
      </c>
      <c r="E15" s="28" t="inlineStr">
        <is>
          <t>حاجب</t>
        </is>
      </c>
      <c r="F15" s="28" t="inlineStr">
        <is>
          <t>—</t>
        </is>
      </c>
      <c r="G15" s="28" t="inlineStr">
        <is>
          <t>المستخدم/الباك اند</t>
        </is>
      </c>
      <c r="H15" s="28" t="inlineStr">
        <is>
          <t>مفتوح</t>
        </is>
      </c>
      <c r="I15" s="49" t="inlineStr">
        <is>
          <t>غير محسوم</t>
        </is>
      </c>
      <c r="J15" s="28" t="inlineStr">
        <is>
          <t>الكود يحتوي آلية الربط Teacher.UserId وStudent.UserId وParentStudentLinks، لكن لا يمكن إثبات وجود حسابات/بيانات اختبار حية من zip.</t>
        </is>
      </c>
      <c r="K15" s="28" t="inlineStr">
        <is>
          <t>OwnershipService; ParentStudentLink</t>
        </is>
      </c>
    </row>
    <row r="16" ht="42" customHeight="1" s="26">
      <c r="A16" s="28" t="inlineStr">
        <is>
          <t>Q-18</t>
        </is>
      </c>
      <c r="B16" s="50" t="inlineStr">
        <is>
          <t>تأكيد تصنيف FR-P08 كـ «جزئي» (ليطابق ملخص التقرير 11 جاهز / 6 جزئي / 13 غير جاهز)</t>
        </is>
      </c>
      <c r="C16" s="28" t="inlineStr">
        <is>
          <t>اتساق النسب</t>
        </is>
      </c>
      <c r="D16" s="28" t="inlineStr">
        <is>
          <t>FR_Matrix</t>
        </is>
      </c>
      <c r="E16" s="28" t="inlineStr">
        <is>
          <t>عادي</t>
        </is>
      </c>
      <c r="F16" s="50" t="inlineStr">
        <is>
          <t>جزئي</t>
        </is>
      </c>
      <c r="G16" s="28" t="inlineStr">
        <is>
          <t>المستخدم</t>
        </is>
      </c>
      <c r="H16" s="28" t="inlineStr">
        <is>
          <t>مفتوح</t>
        </is>
      </c>
      <c r="I16" s="49" t="inlineStr">
        <is>
          <t>محسوم</t>
        </is>
      </c>
      <c r="J16" s="50" t="inlineStr">
        <is>
          <t>FR-P08 مدعوم أمنيًا بالكامل في ParentService، لذلك وصفه «جزئي» في Excel لا يعكس قدرة Backend؛ لكنه قد يبقى جزئيًا من منظور التقرير/الواجهة حسب معيار المشروع.</t>
        </is>
      </c>
      <c r="K16" s="28" t="inlineStr">
        <is>
          <t>ParentService.HasAccessAsync</t>
        </is>
      </c>
    </row>
    <row r="17" ht="42" customHeight="1" s="26">
      <c r="A17" s="28" t="inlineStr">
        <is>
          <t>Q-19</t>
        </is>
      </c>
      <c r="B17" s="28" t="inlineStr">
        <is>
          <t>SRS FR-W03a/b يصف خصم رسوم تسجيل عند موافقة المعلم على طلب انضمام؛ لا توجد endpoints انضمام/تسجيل بـ Swagger. هل المقصود مسار الحجز فقط؟</t>
        </is>
      </c>
      <c r="C17" s="28" t="inlineStr">
        <is>
          <t>يحدد نطاق FR-W03a/b على الواجهة</t>
        </is>
      </c>
      <c r="D17" s="28" t="inlineStr">
        <is>
          <t>WP-W1, W2</t>
        </is>
      </c>
      <c r="E17" s="28" t="inlineStr">
        <is>
          <t>مهم</t>
        </is>
      </c>
      <c r="F17" s="28" t="inlineStr">
        <is>
          <t>نكتفي بمسار الحجز + عرض حركات المحفظة</t>
        </is>
      </c>
      <c r="G17" s="28" t="inlineStr">
        <is>
          <t>صاحب المنتج</t>
        </is>
      </c>
      <c r="H17" s="28" t="inlineStr">
        <is>
          <t>مفتوح</t>
        </is>
      </c>
      <c r="I17" s="49" t="inlineStr">
        <is>
          <t>محسوم ومتناقض مع Excel القديم</t>
        </is>
      </c>
      <c r="J17" s="28" t="inlineStr">
        <is>
          <t>JoinRequestController وJoinRequestService موجودان. عند قبول طلب الانضمام يتم احتساب fee، خصم Wallet الطالب، حساب commission، وتحويل instructorNet، ثم التسجيل.</t>
        </is>
      </c>
      <c r="K17" s="28" t="inlineStr">
        <is>
          <t>JoinRequestController; JoinRequestService.DecideAsync</t>
        </is>
      </c>
    </row>
    <row r="18" ht="42" customHeight="1" s="26">
      <c r="A18" s="28" t="inlineStr">
        <is>
          <t>Q-20</t>
        </is>
      </c>
      <c r="B18" s="28" t="inlineStr">
        <is>
          <t>الحدود الفعلية لحقول الإدخال: مدة الحجز (min/max)، مدة الدرس، أقصى طول لملاحظة الحجز/إعادة الجدولة/مراجعة التقييم/سبب الإلغاء</t>
        </is>
      </c>
      <c r="C18" s="28" t="inlineStr">
        <is>
          <t>الواجهة حاليًا تفترض 30..480 دقيقة حجز، 15..480 درس، 500/500/1000 حرف (R-14)</t>
        </is>
      </c>
      <c r="D18" s="28" t="inlineStr">
        <is>
          <t>WP-S1, S3, S4, T4</t>
        </is>
      </c>
      <c r="E18" s="28" t="inlineStr">
        <is>
          <t>عادي</t>
        </is>
      </c>
      <c r="F18" s="28" t="inlineStr">
        <is>
          <t>نبقى على الافتراض وتُعرض رسالة الباك اند عند الرفض</t>
        </is>
      </c>
      <c r="G18" s="28" t="inlineStr">
        <is>
          <t>فريق الباك اند</t>
        </is>
      </c>
      <c r="H18" s="28" t="inlineStr">
        <is>
          <t>مفتوح</t>
        </is>
      </c>
      <c r="I18" s="49" t="inlineStr">
        <is>
          <t>محسوم جزئيًا</t>
        </is>
      </c>
      <c r="J18" s="28" t="inlineStr">
        <is>
          <t>مدة الحجز محددة 15..480 دقيقة في BookingInputDto. لم يظهر في DTOs حد مماثل صريح لمدة الدرس أو أطوال النصوص المطلوبة في السؤال؛ توجد بعض StringLength في حقول أخرى.</t>
        </is>
      </c>
      <c r="K18" s="28" t="inlineStr">
        <is>
          <t>BookingInputDto; LessonInputDto; BookingDtos</t>
        </is>
      </c>
    </row>
    <row r="19" ht="42" customHeight="1" s="26">
      <c r="A19" s="28" t="inlineStr">
        <is>
          <t>Q-21</t>
        </is>
      </c>
      <c r="B19" s="28" t="inlineStr">
        <is>
          <t>هل Booking/Submit يرجّع returnId = رقم الحجز الجديد؟ (للانتقال إلى /booking/{id} بعد الإرسال)</t>
        </is>
      </c>
      <c r="C19" s="28" t="inlineStr">
        <is>
          <t>تصميم S1-05</t>
        </is>
      </c>
      <c r="D19" s="28" t="inlineStr">
        <is>
          <t>WP-S1</t>
        </is>
      </c>
      <c r="E19" s="28" t="inlineStr">
        <is>
          <t>مهم</t>
        </is>
      </c>
      <c r="F19" s="28" t="inlineStr">
        <is>
          <t>نفترض نعم؛ وإلا ننتقل لـ/my-courses</t>
        </is>
      </c>
      <c r="G19" s="28" t="inlineStr">
        <is>
          <t>فريق الباك اند</t>
        </is>
      </c>
      <c r="H19" s="28" t="inlineStr">
        <is>
          <t>مفتوح</t>
        </is>
      </c>
      <c r="I19" s="49" t="inlineStr">
        <is>
          <t>محسوم</t>
        </is>
      </c>
      <c r="J19" s="28" t="inlineStr">
        <is>
          <t>SubmitBookingRequestAsync بعد الحفظ يضع result.ReturnId = booking.Id.</t>
        </is>
      </c>
      <c r="K19" s="28" t="inlineStr">
        <is>
          <t>BookingService.SubmitBookingRequestAsync</t>
        </is>
      </c>
    </row>
  </sheetData>
  <autoFilter ref="A1:K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0" customWidth="1" style="26" min="1" max="1"/>
    <col width="28" customWidth="1" style="26" min="2" max="2"/>
    <col width="90" customWidth="1" style="26" min="3" max="3"/>
    <col width="60" customWidth="1" style="26" min="4" max="4"/>
    <col width="20" customWidth="1" style="26" min="5" max="5"/>
    <col width="14" customWidth="1" style="26" min="6" max="6"/>
    <col width="14" customWidth="1" style="26" min="7" max="7"/>
    <col width="90" customWidth="1" style="26" min="8" max="8"/>
  </cols>
  <sheetData>
    <row r="1" ht="42" customHeight="1" s="26">
      <c r="A1" s="48" t="inlineStr">
        <is>
          <t>ID</t>
        </is>
      </c>
      <c r="B1" s="48" t="inlineStr">
        <is>
          <t>الملف</t>
        </is>
      </c>
      <c r="C1" s="48" t="inlineStr">
        <is>
          <t>المشكلة في Excel</t>
        </is>
      </c>
      <c r="D1" s="48" t="inlineStr">
        <is>
          <t>الإصلاح المقترح</t>
        </is>
      </c>
      <c r="E1" s="48" t="inlineStr">
        <is>
          <t>WP/المهمة</t>
        </is>
      </c>
      <c r="F1" s="48" t="inlineStr">
        <is>
          <t>الخطورة</t>
        </is>
      </c>
      <c r="G1" s="48" t="inlineStr">
        <is>
          <t>حالة Excel</t>
        </is>
      </c>
      <c r="H1" s="48" t="inlineStr">
        <is>
          <t>حكم التحليل</t>
        </is>
      </c>
    </row>
    <row r="2" ht="42" customHeight="1" s="26">
      <c r="A2" s="28" t="inlineStr">
        <is>
          <t>D-01</t>
        </is>
      </c>
      <c r="B2" s="28" t="inlineStr">
        <is>
          <t>bookings.ts</t>
        </is>
      </c>
      <c r="C2" s="28" t="inlineStr">
        <is>
          <t>submitBooking: الكود يرسل {teacherId, courseId, date, startTime, durationMinutes} ويتوقع BookingRow؛ Swagger: {teacherId, subjectId, gradeId, teachingMode, date, startTime, durationMinutes, studentNote} والرد OperationResult</t>
        </is>
      </c>
      <c r="D2" s="28" t="inlineStr">
        <is>
          <t>إعادة تعريف BookingInput وقيمة الإرجاع</t>
        </is>
      </c>
      <c r="E2" s="28" t="inlineStr">
        <is>
          <t>WP-00 (00-01)</t>
        </is>
      </c>
      <c r="F2" s="28" t="inlineStr">
        <is>
          <t>حرج</t>
        </is>
      </c>
      <c r="G2" s="28" t="inlineStr">
        <is>
          <t>مفتوح</t>
        </is>
      </c>
      <c r="H2" s="28" t="inlineStr">
        <is>
          <t>الفارق في Frontend صحيح بالنسبة للكود القديم؛ Backend الحالي يطابق Swagger/DTO: Submit يستخدم subjectId/gradeId/teachingMode، Decide يستخدم Accept، Rate يستخدم RatingValue/Review.</t>
        </is>
      </c>
    </row>
    <row r="3" ht="42" customHeight="1" s="26">
      <c r="A3" s="28" t="inlineStr">
        <is>
          <t>D-02</t>
        </is>
      </c>
      <c r="B3" s="28" t="inlineStr">
        <is>
          <t>bookings.ts</t>
        </is>
      </c>
      <c r="C3" s="28" t="inlineStr">
        <is>
          <t>decideBooking يرسل approve؛ Swagger الحقل accept</t>
        </is>
      </c>
      <c r="D3" s="28" t="inlineStr">
        <is>
          <t>تغيير اسم الحقل</t>
        </is>
      </c>
      <c r="E3" s="28" t="inlineStr">
        <is>
          <t>WP-00 (00-01)</t>
        </is>
      </c>
      <c r="F3" s="28" t="inlineStr">
        <is>
          <t>حرج</t>
        </is>
      </c>
      <c r="G3" s="28" t="inlineStr">
        <is>
          <t>مفتوح</t>
        </is>
      </c>
      <c r="H3" s="28" t="inlineStr">
        <is>
          <t>الفارق في Frontend صحيح بالنسبة للكود القديم؛ Backend الحالي يطابق Swagger/DTO: Submit يستخدم subjectId/gradeId/teachingMode، Decide يستخدم Accept، Rate يستخدم RatingValue/Review.</t>
        </is>
      </c>
    </row>
    <row r="4" ht="42" customHeight="1" s="26">
      <c r="A4" s="28" t="inlineStr">
        <is>
          <t>D-03</t>
        </is>
      </c>
      <c r="B4" s="28" t="inlineStr">
        <is>
          <t>bookings.ts</t>
        </is>
      </c>
      <c r="C4" s="28" t="inlineStr">
        <is>
          <t>rateBooking يرسل rating/comment؛ Swagger ratingValue/review</t>
        </is>
      </c>
      <c r="D4" s="28" t="inlineStr">
        <is>
          <t>تغيير الحقول</t>
        </is>
      </c>
      <c r="E4" s="28" t="inlineStr">
        <is>
          <t>WP-00 (00-01)</t>
        </is>
      </c>
      <c r="F4" s="28" t="inlineStr">
        <is>
          <t>حرج</t>
        </is>
      </c>
      <c r="G4" s="28" t="inlineStr">
        <is>
          <t>مفتوح</t>
        </is>
      </c>
      <c r="H4" s="28" t="inlineStr">
        <is>
          <t>الفارق في Frontend صحيح بالنسبة للكود القديم؛ Backend الحالي يطابق Swagger/DTO: Submit يستخدم subjectId/gradeId/teachingMode، Decide يستخدم Accept، Rate يستخدم RatingValue/Review.</t>
        </is>
      </c>
    </row>
    <row r="5" ht="42" customHeight="1" s="26">
      <c r="A5" s="28" t="inlineStr">
        <is>
          <t>D-04</t>
        </is>
      </c>
      <c r="B5" s="28" t="inlineStr">
        <is>
          <t>bookings.ts</t>
        </is>
      </c>
      <c r="C5" s="28" t="inlineStr">
        <is>
          <t>cancelBooking لا يمرّر reason (query) ويتوقع BookingRow؛ كما يوجد Student/CancelBooking (body) غير مربوط</t>
        </is>
      </c>
      <c r="D5" s="28" t="inlineStr">
        <is>
          <t>تمرير reason + اعتماد Student/CancelBooking في واجهة الطالب</t>
        </is>
      </c>
      <c r="E5" s="28" t="inlineStr">
        <is>
          <t>WP-00 / WP-S2</t>
        </is>
      </c>
      <c r="F5" s="28" t="inlineStr">
        <is>
          <t>مهم</t>
        </is>
      </c>
      <c r="G5" s="28" t="inlineStr">
        <is>
          <t>مفتوح</t>
        </is>
      </c>
      <c r="H5" s="28" t="inlineStr">
        <is>
          <t>الفارق في Frontend صحيح بالنسبة للكود القديم؛ Backend الحالي يطابق Swagger/DTO: Submit يستخدم subjectId/gradeId/teachingMode، Decide يستخدم Accept، Rate يستخدم RatingValue/Review.</t>
        </is>
      </c>
    </row>
    <row r="6" ht="42" customHeight="1" s="26">
      <c r="A6" s="28" t="inlineStr">
        <is>
          <t>D-05</t>
        </is>
      </c>
      <c r="B6" s="28" t="inlineStr">
        <is>
          <t>bookings.ts</t>
        </is>
      </c>
      <c r="C6" s="28" t="inlineStr">
        <is>
          <t>listTeacherBookings يرسل status كنص (Pending..)؛ Swagger رقم 1..6. وBookingStatus نصي هنا بينما رقمي بـ student.ts</t>
        </is>
      </c>
      <c r="D6" s="28" t="inlineStr">
        <is>
          <t>توحيد على الأرقام عبر enums.ts</t>
        </is>
      </c>
      <c r="E6" s="28" t="inlineStr">
        <is>
          <t>WP-00 (00-01, 00-07)</t>
        </is>
      </c>
      <c r="F6" s="28" t="inlineStr">
        <is>
          <t>حرج</t>
        </is>
      </c>
      <c r="G6" s="28" t="inlineStr">
        <is>
          <t>مفتوح</t>
        </is>
      </c>
      <c r="H6" s="28" t="inlineStr">
        <is>
          <t>تم التحقق من وجود Student/CancelBooking وBooking/Cancel في Backend؛ الواجهة يمكنها اعتماد Student/CancelBooking لمسار الطالب.</t>
        </is>
      </c>
    </row>
    <row r="7" ht="42" customHeight="1" s="26">
      <c r="A7" s="28" t="inlineStr">
        <is>
          <t>D-06</t>
        </is>
      </c>
      <c r="B7" s="28" t="inlineStr">
        <is>
          <t>lessons.ts</t>
        </is>
      </c>
      <c r="C7" s="28" t="inlineStr">
        <is>
          <t>كل الدوال تتوقع LessonRow؛ Swagger يرجع OperationResult</t>
        </is>
      </c>
      <c r="D7" s="28" t="inlineStr">
        <is>
          <t>تغيير الإرجاع + assertOk</t>
        </is>
      </c>
      <c r="E7" s="28" t="inlineStr">
        <is>
          <t>WP-00 (00-03)</t>
        </is>
      </c>
      <c r="F7" s="28" t="inlineStr">
        <is>
          <t>مهم</t>
        </is>
      </c>
      <c r="G7" s="28" t="inlineStr">
        <is>
          <t>مفتوح</t>
        </is>
      </c>
      <c r="H7" s="28" t="inlineStr">
        <is>
          <t>يحتاج مراجعة مقابل الكود؛ لا يُفترض إغلاقه دون اختبار/Swagger Runtime.</t>
        </is>
      </c>
    </row>
    <row r="8" ht="42" customHeight="1" s="26">
      <c r="A8" s="28" t="inlineStr">
        <is>
          <t>D-07</t>
        </is>
      </c>
      <c r="B8" s="28" t="inlineStr">
        <is>
          <t>courses.ts</t>
        </is>
      </c>
      <c r="C8" s="28" t="inlineStr">
        <is>
          <t>لا توجد دوال: CreateEdit, ConfigureGroupSchedule, GetGroupStudents, GetMineById</t>
        </is>
      </c>
      <c r="D8" s="28" t="inlineStr">
        <is>
          <t>إضافتها</t>
        </is>
      </c>
      <c r="E8" s="28" t="inlineStr">
        <is>
          <t>WP-00 (00-04)</t>
        </is>
      </c>
      <c r="F8" s="28" t="inlineStr">
        <is>
          <t>حرج</t>
        </is>
      </c>
      <c r="G8" s="28" t="inlineStr">
        <is>
          <t>مفتوح</t>
        </is>
      </c>
      <c r="H8" s="28" t="inlineStr">
        <is>
          <t>يحتاج مراجعة مقابل الكود؛ لا يُفترض إغلاقه دون اختبار/Swagger Runtime.</t>
        </is>
      </c>
    </row>
    <row r="9" ht="42" customHeight="1" s="26">
      <c r="A9" s="28" t="inlineStr">
        <is>
          <t>D-08</t>
        </is>
      </c>
      <c r="B9" s="28" t="inlineStr">
        <is>
          <t>student.ts</t>
        </is>
      </c>
      <c r="C9" s="28" t="inlineStr">
        <is>
          <t>غير موجودة: GetBooking, BookingPayment, CancelBooking, RequestReschedule, MyRescheduleRequests, GetLesson, GetCourse, Attendance, ExamResults, Progress</t>
        </is>
      </c>
      <c r="D9" s="28" t="inlineStr">
        <is>
          <t>إضافتها</t>
        </is>
      </c>
      <c r="E9" s="28" t="inlineStr">
        <is>
          <t>WP-00 (00-05)</t>
        </is>
      </c>
      <c r="F9" s="28" t="inlineStr">
        <is>
          <t>حرج</t>
        </is>
      </c>
      <c r="G9" s="28" t="inlineStr">
        <is>
          <t>مفتوح</t>
        </is>
      </c>
      <c r="H9" s="28" t="inlineStr">
        <is>
          <t>يحتاج مراجعة مقابل الكود؛ لا يُفترض إغلاقه دون اختبار/Swagger Runtime.</t>
        </is>
      </c>
    </row>
    <row r="10" ht="42" customHeight="1" s="26">
      <c r="A10" s="28" t="inlineStr">
        <is>
          <t>D-09</t>
        </is>
      </c>
      <c r="B10" s="28" t="inlineStr">
        <is>
          <t>bookings.ts</t>
        </is>
      </c>
      <c r="C10" s="28" t="inlineStr">
        <is>
          <t>غير موجودة: TeacherRescheduleRequests, DecideReschedule</t>
        </is>
      </c>
      <c r="D10" s="28" t="inlineStr">
        <is>
          <t>إضافتها</t>
        </is>
      </c>
      <c r="E10" s="28" t="inlineStr">
        <is>
          <t>WP-00 (00-02)</t>
        </is>
      </c>
      <c r="F10" s="28" t="inlineStr">
        <is>
          <t>مهم</t>
        </is>
      </c>
      <c r="G10" s="28" t="inlineStr">
        <is>
          <t>مفتوح</t>
        </is>
      </c>
      <c r="H10" s="28" t="inlineStr">
        <is>
          <t>يحتاج مراجعة مقابل الكود؛ لا يُفترض إغلاقه دون اختبار/Swagger Runtime.</t>
        </is>
      </c>
    </row>
    <row r="11" ht="42" customHeight="1" s="26">
      <c r="A11" s="28" t="inlineStr">
        <is>
          <t>D-10</t>
        </is>
      </c>
      <c r="B11" s="28" t="inlineStr">
        <is>
          <t>student.ts + lessons.ts</t>
        </is>
      </c>
      <c r="C11" s="28" t="inlineStr">
        <is>
          <t>MeetingPlatform معرّف مرتين</t>
        </is>
      </c>
      <c r="D11" s="28" t="inlineStr">
        <is>
          <t>توحيده بـ enums.ts</t>
        </is>
      </c>
      <c r="E11" s="28" t="inlineStr">
        <is>
          <t>WP-00 (00-07)</t>
        </is>
      </c>
      <c r="F11" s="28" t="inlineStr">
        <is>
          <t>منخفض</t>
        </is>
      </c>
      <c r="G11" s="28" t="inlineStr">
        <is>
          <t>مفتوح</t>
        </is>
      </c>
      <c r="H11" s="28" t="inlineStr">
        <is>
          <t>يحتاج مراجعة مقابل الكود؛ لا يُفترض إغلاقه دون اختبار/Swagger Runtime.</t>
        </is>
      </c>
    </row>
    <row r="12" ht="42" customHeight="1" s="26">
      <c r="A12" s="28" t="inlineStr">
        <is>
          <t>D-11</t>
        </is>
      </c>
      <c r="B12" s="28" t="inlineStr">
        <is>
          <t>teacher.dashboard.tsx</t>
        </is>
      </c>
      <c r="C12" s="28" t="inlineStr">
        <is>
          <t>لوحة «طلبات الحجز» معطّلة بنص يشير لـ P0-1/P1-1 — قد لا يكون صحيحًا الآن بعد تحديث الباك اند</t>
        </is>
      </c>
      <c r="D12" s="28" t="inlineStr">
        <is>
          <t>التحقق ثم الاستبدال</t>
        </is>
      </c>
      <c r="E12" s="28" t="inlineStr">
        <is>
          <t>WP-T5 (T5-05)</t>
        </is>
      </c>
      <c r="F12" s="28" t="inlineStr">
        <is>
          <t>مهم</t>
        </is>
      </c>
      <c r="G12" s="28" t="inlineStr">
        <is>
          <t>مفتوح</t>
        </is>
      </c>
      <c r="H12" s="28" t="inlineStr">
        <is>
          <t>يحتاج مراجعة مقابل الكود؛ لا يُفترض إغلاقه دون اختبار/Swagger Runtime.</t>
        </is>
      </c>
    </row>
    <row r="13" ht="42" customHeight="1" s="26">
      <c r="A13" s="28" t="inlineStr">
        <is>
          <t>D-12</t>
        </is>
      </c>
      <c r="B13" s="28" t="inlineStr">
        <is>
          <t>teacher.courses.tsx</t>
        </is>
      </c>
      <c r="C13" s="28" t="inlineStr">
        <is>
          <t>placeholder «قيد التطوير» بنص P1-1/P1-3 قديم</t>
        </is>
      </c>
      <c r="D13" s="28" t="inlineStr">
        <is>
          <t>استبدال</t>
        </is>
      </c>
      <c r="E13" s="28" t="inlineStr">
        <is>
          <t>WP-T1 (T1-01)</t>
        </is>
      </c>
      <c r="F13" s="28" t="inlineStr">
        <is>
          <t>مهم</t>
        </is>
      </c>
      <c r="G13" s="28" t="inlineStr">
        <is>
          <t>مفتوح</t>
        </is>
      </c>
      <c r="H13" s="28" t="inlineStr">
        <is>
          <t>يحتاج مراجعة مقابل الكود؛ لا يُفترض إغلاقه دون اختبار/Swagger Runtime.</t>
        </is>
      </c>
    </row>
    <row r="14" ht="42" customHeight="1" s="26">
      <c r="A14" s="28" t="inlineStr">
        <is>
          <t>D-13</t>
        </is>
      </c>
      <c r="B14" s="28" t="inlineStr">
        <is>
          <t>teacher.$id.tsx</t>
        </is>
      </c>
      <c r="C14" s="28" t="inlineStr">
        <is>
          <t>زر الحجز معطّل بنص «غير مفعّل بالباك اند» — قديم</t>
        </is>
      </c>
      <c r="D14" s="28" t="inlineStr">
        <is>
          <t>تفعيله</t>
        </is>
      </c>
      <c r="E14" s="28" t="inlineStr">
        <is>
          <t>WP-S1 (S1-06)</t>
        </is>
      </c>
      <c r="F14" s="28" t="inlineStr">
        <is>
          <t>مهم</t>
        </is>
      </c>
      <c r="G14" s="28" t="inlineStr">
        <is>
          <t>مفتوح</t>
        </is>
      </c>
      <c r="H14" s="28" t="inlineStr">
        <is>
          <t>يحتاج مراجعة مقابل الكود؛ لا يُفترض إغلاقه دون اختبار/Swagger Runtime.</t>
        </is>
      </c>
    </row>
    <row r="15" ht="42" customHeight="1" s="26">
      <c r="A15" s="28" t="inlineStr">
        <is>
          <t>D-14</t>
        </is>
      </c>
      <c r="B15" s="28" t="inlineStr">
        <is>
          <t>bookings.ts / lessons.ts (تعليقات الرأس)</t>
        </is>
      </c>
      <c r="C15" s="28" t="inlineStr">
        <is>
          <t>تشير لملفات docs/operations/* غير موجودة بالـ zip وتصف حالة قديمة</t>
        </is>
      </c>
      <c r="D15" s="28" t="inlineStr">
        <is>
          <t>لا تُعتمد؛ المصدر الآن Swagger + SRS + هذا الملف</t>
        </is>
      </c>
      <c r="E15" s="28" t="inlineStr">
        <is>
          <t>—</t>
        </is>
      </c>
      <c r="F15" s="28" t="inlineStr">
        <is>
          <t>معلومة</t>
        </is>
      </c>
      <c r="G15" s="28" t="inlineStr">
        <is>
          <t>مفتوح</t>
        </is>
      </c>
      <c r="H15" s="28" t="inlineStr">
        <is>
          <t>يحتاج مراجعة مقابل الكود؛ لا يُفترض إغلاقه دون اختبار/Swagger Runtime.</t>
        </is>
      </c>
    </row>
    <row r="16" ht="42" customHeight="1" s="26">
      <c r="A16" s="28" t="inlineStr">
        <is>
          <t>D-15</t>
        </is>
      </c>
      <c r="B16" s="28" t="inlineStr">
        <is>
          <t>Swagger</t>
        </is>
      </c>
      <c r="C16" s="28" t="inlineStr">
        <is>
          <t>ردود GET وكثير من الـ POST بلا Schema موثّق (فقط OperationResult للكتابة)</t>
        </is>
      </c>
      <c r="D16" s="28" t="inlineStr">
        <is>
          <t>جمع عينات JSON حقيقية (Q-05)</t>
        </is>
      </c>
      <c r="E16" s="28" t="inlineStr">
        <is>
          <t>WP-00 (00-18)</t>
        </is>
      </c>
      <c r="F16" s="28" t="inlineStr">
        <is>
          <t>حرج</t>
        </is>
      </c>
      <c r="G16" s="28" t="inlineStr">
        <is>
          <t>مفتوح</t>
        </is>
      </c>
      <c r="H16" s="28" t="inlineStr">
        <is>
          <t>يحتاج مراجعة مقابل الكود؛ لا يُفترض إغلاقه دون اختبار/Swagger Runtime.</t>
        </is>
      </c>
    </row>
    <row r="17" ht="42" customHeight="1" s="26">
      <c r="A17" s="28" t="inlineStr">
        <is>
          <t>D-16</t>
        </is>
      </c>
      <c r="B17" s="28" t="inlineStr">
        <is>
          <t>SRS FR-W03a/b</t>
        </is>
      </c>
      <c r="C17" s="28" t="inlineStr">
        <is>
          <t>نص SRS يصف خصم رسوم «التسجيل» عند موافقة المعلم على طلب انضمام (Join Request) ولا يوجد endpoint انضمام/تسجيل في Swagger</t>
        </is>
      </c>
      <c r="D17" s="28" t="inlineStr">
        <is>
          <t>نفّذنا جانب العرض فقط + سؤال Q-19</t>
        </is>
      </c>
      <c r="E17" s="28" t="inlineStr">
        <is>
          <t>WP-W1/W2</t>
        </is>
      </c>
      <c r="F17" s="28" t="inlineStr">
        <is>
          <t>مهم</t>
        </is>
      </c>
      <c r="G17" s="28" t="inlineStr">
        <is>
          <t>مفتوح</t>
        </is>
      </c>
      <c r="H17" s="28" t="inlineStr">
        <is>
          <t>يحتاج مراجعة مقابل الكود؛ لا يُفترض إغلاقه دون اختبار/Swagger Runtime.</t>
        </is>
      </c>
    </row>
    <row r="18" ht="42" customHeight="1" s="26">
      <c r="A18" s="28" t="inlineStr">
        <is>
          <t>D-17</t>
        </is>
      </c>
      <c r="B18" s="28" t="inlineStr">
        <is>
          <t>audit report</t>
        </is>
      </c>
      <c r="C18" s="28" t="inlineStr">
        <is>
          <t>جدول التقرير يحوي 11 جاهز/5 جزئي بالأسطر وملخصه 11/6/13: صُنِّف FR-P08 جزئيًا لمطابقة الملخص</t>
        </is>
      </c>
      <c r="D18" s="28" t="inlineStr">
        <is>
          <t>تأكيد من المستخدم (Q-18)</t>
        </is>
      </c>
      <c r="E18" s="28" t="inlineStr">
        <is>
          <t>—</t>
        </is>
      </c>
      <c r="F18" s="28" t="inlineStr">
        <is>
          <t>معلومة</t>
        </is>
      </c>
      <c r="G18" s="28" t="inlineStr">
        <is>
          <t>مفتوح</t>
        </is>
      </c>
      <c r="H18" s="28" t="inlineStr">
        <is>
          <t>يحتاج مراجعة مقابل الكود؛ لا يُفترض إغلاقه دون اختبار/Swagger Runtime.</t>
        </is>
      </c>
    </row>
  </sheetData>
  <autoFilter ref="A1:H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style="26" min="1" max="1"/>
    <col width="40" customWidth="1" style="26" min="2" max="2"/>
    <col width="22" customWidth="1" style="26" min="3" max="3"/>
    <col width="70" customWidth="1" style="26" min="4" max="4"/>
    <col width="22" customWidth="1" style="26" min="5" max="5"/>
    <col width="80" customWidth="1" style="26" min="6" max="6"/>
    <col width="45" customWidth="1" style="26" min="7" max="7"/>
    <col width="15" customWidth="1" style="26" min="8" max="8"/>
    <col width="70" customWidth="1" style="26" min="9" max="9"/>
  </cols>
  <sheetData>
    <row r="1" ht="42" customHeight="1" s="26">
      <c r="A1" s="48" t="inlineStr">
        <is>
          <t>NE-ID</t>
        </is>
      </c>
      <c r="B1" s="48" t="inlineStr">
        <is>
          <t>العنصر</t>
        </is>
      </c>
      <c r="C1" s="48" t="inlineStr">
        <is>
          <t>نوع المطلوب</t>
        </is>
      </c>
      <c r="D1" s="48" t="inlineStr">
        <is>
          <t>Endpoint</t>
        </is>
      </c>
      <c r="E1" s="48" t="inlineStr">
        <is>
          <t>السؤال</t>
        </is>
      </c>
      <c r="F1" s="48" t="inlineStr">
        <is>
          <t>ما يجب إحضاره</t>
        </is>
      </c>
      <c r="G1" s="48" t="inlineStr">
        <is>
          <t>المهام المتأثرة</t>
        </is>
      </c>
      <c r="H1" s="48" t="inlineStr">
        <is>
          <t>JSON مطلوب؟</t>
        </is>
      </c>
      <c r="I1" s="48" t="inlineStr">
        <is>
          <t>حكم Backend</t>
        </is>
      </c>
    </row>
    <row r="2" ht="42" customHeight="1" s="26">
      <c r="A2" s="28" t="inlineStr">
        <is>
          <t>NE-02</t>
        </is>
      </c>
      <c r="B2" s="28" t="inlineStr">
        <is>
          <t>تفاصيل حجز الطالب</t>
        </is>
      </c>
      <c r="C2" s="28" t="inlineStr">
        <is>
          <t>عينة JSON + قرارات</t>
        </is>
      </c>
      <c r="D2" s="28" t="inlineStr">
        <is>
          <t>GET Student/GetBooking?id=</t>
        </is>
      </c>
      <c r="E2" s="28" t="inlineStr">
        <is>
          <t>Q-08, Q-09, Q-10</t>
        </is>
      </c>
      <c r="F2" s="28" t="inlineStr">
        <is>
          <t>رد حجز مؤكد وآخر مكتمل؛ هل فيه isRated/تقييم؟ وهل يرجع سياسة الإلغاء/المهلة؟ وقواعد أهلية إعادة الجدولة</t>
        </is>
      </c>
      <c r="G2" s="28" t="inlineStr">
        <is>
          <t>S2-01، S2-02، S2-05، S4-02، S4-03</t>
        </is>
      </c>
      <c r="H2" s="28" t="inlineStr">
        <is>
          <t>لا</t>
        </is>
      </c>
      <c r="I2" s="28" t="inlineStr">
        <is>
          <t>Endpoint/Service موجود في Backend؛ العائق المتبقي هو عينة JSON Runtime/تأكيد الشكل والقيم.</t>
        </is>
      </c>
    </row>
    <row r="3" ht="42" customHeight="1" s="26">
      <c r="A3" s="28" t="inlineStr">
        <is>
          <t>NE-03</t>
        </is>
      </c>
      <c r="B3" s="28" t="inlineStr">
        <is>
          <t>حالة دفع الحجز</t>
        </is>
      </c>
      <c r="C3" s="28" t="inlineStr">
        <is>
          <t>عينة JSON + قرار</t>
        </is>
      </c>
      <c r="D3" s="28" t="inlineStr">
        <is>
          <t>GET Student/BookingPayment?bookingId=</t>
        </is>
      </c>
      <c r="E3" s="28" t="inlineStr">
        <is>
          <t>Q-06</t>
        </is>
      </c>
      <c r="F3" s="28" t="inlineStr">
        <is>
          <t>رد لحجز مؤكد وآخر رصيده غير كافٍ؛ ومتى يُخصم المبلغ فعليًا</t>
        </is>
      </c>
      <c r="G3" s="28" t="inlineStr">
        <is>
          <t>W1-01، W1-05</t>
        </is>
      </c>
      <c r="H3" s="28" t="inlineStr">
        <is>
          <t>لا</t>
        </is>
      </c>
      <c r="I3" s="28" t="inlineStr">
        <is>
          <t>Endpoint/Service موجود في Backend؛ العائق المتبقي هو عينة JSON Runtime/تأكيد الشكل والقيم.</t>
        </is>
      </c>
    </row>
    <row r="4" ht="42" customHeight="1" s="26">
      <c r="A4" s="28" t="inlineStr">
        <is>
          <t>NE-04</t>
        </is>
      </c>
      <c r="B4" s="28" t="inlineStr">
        <is>
          <t>طلبات إعادة جدولة الطالب</t>
        </is>
      </c>
      <c r="C4" s="28" t="inlineStr">
        <is>
          <t>عينة JSON</t>
        </is>
      </c>
      <c r="D4" s="28" t="inlineStr">
        <is>
          <t>GET Student/MyRescheduleRequests</t>
        </is>
      </c>
      <c r="E4" s="28" t="inlineStr">
        <is>
          <t>—</t>
        </is>
      </c>
      <c r="F4" s="28" t="inlineStr">
        <is>
          <t>رد بطلب معلّق وآخر مرفوض/موافق عليه + أسماء الحالات</t>
        </is>
      </c>
      <c r="G4" s="28" t="inlineStr">
        <is>
          <t>S3-02</t>
        </is>
      </c>
      <c r="H4" s="28" t="inlineStr">
        <is>
          <t>لا</t>
        </is>
      </c>
      <c r="I4" s="28" t="inlineStr">
        <is>
          <t>Endpoint/Service موجود في Backend؛ العائق المتبقي هو عينة JSON Runtime/تأكيد الشكل والقيم.</t>
        </is>
      </c>
    </row>
    <row r="5" ht="42" customHeight="1" s="26">
      <c r="A5" s="28" t="inlineStr">
        <is>
          <t>NE-05</t>
        </is>
      </c>
      <c r="B5" s="28" t="inlineStr">
        <is>
          <t>تفاصيل الدرس (طالب)</t>
        </is>
      </c>
      <c r="C5" s="28" t="inlineStr">
        <is>
          <t>عينة JSON</t>
        </is>
      </c>
      <c r="D5" s="28" t="inlineStr">
        <is>
          <t>GET Student/GetLesson?id=</t>
        </is>
      </c>
      <c r="E5" s="28" t="inlineStr">
        <is>
          <t>—</t>
        </is>
      </c>
      <c r="F5" s="28" t="inlineStr">
        <is>
          <t>درس حضوري (فيه القاعة) وآخر أونلاين (فيه المنصة والرابط وcanJoin)</t>
        </is>
      </c>
      <c r="G5" s="28" t="inlineStr">
        <is>
          <t>S5-01، S5-02، S5-03</t>
        </is>
      </c>
      <c r="H5" s="28" t="inlineStr">
        <is>
          <t>لا</t>
        </is>
      </c>
      <c r="I5" s="28" t="inlineStr">
        <is>
          <t>يحتاج عينة/اختبار Runtime إذا كان Excel يطلب schema فعليًا.</t>
        </is>
      </c>
    </row>
    <row r="6" ht="42" customHeight="1" s="26">
      <c r="A6" s="28" t="inlineStr">
        <is>
          <t>NE-06</t>
        </is>
      </c>
      <c r="B6" s="28" t="inlineStr">
        <is>
          <t>تفاصيل الكورس المسجَّل</t>
        </is>
      </c>
      <c r="C6" s="28" t="inlineStr">
        <is>
          <t>عينة JSON</t>
        </is>
      </c>
      <c r="D6" s="28" t="inlineStr">
        <is>
          <t>GET Student/GetCourse?id=</t>
        </is>
      </c>
      <c r="E6" s="28" t="inlineStr">
        <is>
          <t>—</t>
        </is>
      </c>
      <c r="F6" s="28" t="inlineStr">
        <is>
          <t>كورس فيه مجموعة ودروس + كورس بلا دروس</t>
        </is>
      </c>
      <c r="G6" s="28" t="inlineStr">
        <is>
          <t>S6-01، S6-03، S6-04</t>
        </is>
      </c>
      <c r="H6" s="28" t="inlineStr">
        <is>
          <t>لا</t>
        </is>
      </c>
      <c r="I6" s="28" t="inlineStr">
        <is>
          <t>يحتاج عينة/اختبار Runtime إذا كان Excel يطلب schema فعليًا.</t>
        </is>
      </c>
    </row>
    <row r="7" ht="42" customHeight="1" s="26">
      <c r="A7" s="28" t="inlineStr">
        <is>
          <t>NE-07</t>
        </is>
      </c>
      <c r="B7" s="28" t="inlineStr">
        <is>
          <t>سجل حضور الطالب</t>
        </is>
      </c>
      <c r="C7" s="28" t="inlineStr">
        <is>
          <t>عينة JSON</t>
        </is>
      </c>
      <c r="D7" s="28" t="inlineStr">
        <is>
          <t>GET Student/Attendance?from&amp;to&amp;courseId</t>
        </is>
      </c>
      <c r="E7" s="28" t="inlineStr">
        <is>
          <t>—</t>
        </is>
      </c>
      <c r="F7" s="28" t="inlineStr">
        <is>
          <t>رد بسجلات بالحالات الأربع وهل يرجع نسبة؟</t>
        </is>
      </c>
      <c r="G7" s="28" t="inlineStr">
        <is>
          <t>S7-01، S7-03، S7-04، S7-05</t>
        </is>
      </c>
      <c r="H7" s="28" t="inlineStr">
        <is>
          <t>لا</t>
        </is>
      </c>
      <c r="I7" s="28" t="inlineStr">
        <is>
          <t>يحتاج عينة/اختبار Runtime إذا كان Excel يطلب schema فعليًا.</t>
        </is>
      </c>
    </row>
    <row r="8" ht="42" customHeight="1" s="26">
      <c r="A8" s="28" t="inlineStr">
        <is>
          <t>NE-08</t>
        </is>
      </c>
      <c r="B8" s="28" t="inlineStr">
        <is>
          <t>نتائج امتحانات الطالب</t>
        </is>
      </c>
      <c r="C8" s="28" t="inlineStr">
        <is>
          <t>عينة JSON</t>
        </is>
      </c>
      <c r="D8" s="28" t="inlineStr">
        <is>
          <t>GET Student/ExamResults?courseId</t>
        </is>
      </c>
      <c r="E8" s="28" t="inlineStr">
        <is>
          <t>—</t>
        </is>
      </c>
      <c r="F8" s="28" t="inlineStr">
        <is>
          <t>رد بعدة نتائج (العنوان/التاريخ/الدرجة/المجموع/الملاحظات)</t>
        </is>
      </c>
      <c r="G8" s="28" t="inlineStr">
        <is>
          <t>S8-01، S8-02، S8-03</t>
        </is>
      </c>
      <c r="H8" s="28" t="inlineStr">
        <is>
          <t>لا</t>
        </is>
      </c>
      <c r="I8" s="28" t="inlineStr">
        <is>
          <t>يحتاج عينة/اختبار Runtime إذا كان Excel يطلب schema فعليًا.</t>
        </is>
      </c>
    </row>
    <row r="9" ht="42" customHeight="1" s="26">
      <c r="A9" s="28" t="inlineStr">
        <is>
          <t>NE-09</t>
        </is>
      </c>
      <c r="B9" s="28" t="inlineStr">
        <is>
          <t>كورس المعلم + المجموعة</t>
        </is>
      </c>
      <c r="C9" s="28" t="inlineStr">
        <is>
          <t>عينة JSON + قرارات</t>
        </is>
      </c>
      <c r="D9" s="28" t="inlineStr">
        <is>
          <t>GET Course/GetMineById?id=</t>
        </is>
      </c>
      <c r="E9" s="28" t="inlineStr">
        <is>
          <t>Q-02, Q-03</t>
        </is>
      </c>
      <c r="F9" s="28" t="inlineStr">
        <is>
          <t>شكل الرد (هل فيه groupId/المجموعات؟ هل لكورس أكثر من مجموعة؟)، وهل CreateEdit يأخذ teacherId من الجلسة؟</t>
        </is>
      </c>
      <c r="G9" s="28" t="inlineStr">
        <is>
          <t>T1-07، T2-01، T2-02، T2-04، T2-05، T2-06</t>
        </is>
      </c>
      <c r="H9" s="28" t="inlineStr">
        <is>
          <t>لا</t>
        </is>
      </c>
      <c r="I9" s="28" t="inlineStr">
        <is>
          <t>Endpoint موجود في Backend؛ بعض الردود غير موثقة في Swagger، لذلك يلزم JSON Runtime قبل تثبيت النوع النهائي.</t>
        </is>
      </c>
    </row>
    <row r="10" ht="42" customHeight="1" s="26">
      <c r="A10" s="28" t="inlineStr">
        <is>
          <t>NE-10</t>
        </is>
      </c>
      <c r="B10" s="28" t="inlineStr">
        <is>
          <t>قائمة كورسات المعلم</t>
        </is>
      </c>
      <c r="C10" s="28" t="inlineStr">
        <is>
          <t>عينة JSON + قرار</t>
        </is>
      </c>
      <c r="D10" s="28" t="inlineStr">
        <is>
          <t>POST Course/GetAll (بحساب معلم)</t>
        </is>
      </c>
      <c r="E10" s="28" t="inlineStr">
        <is>
          <t>Q-01</t>
        </is>
      </c>
      <c r="F10" s="28" t="inlineStr">
        <is>
          <t>هل يرجع كورسات المعلم الحالي فقط أم الكل؟</t>
        </is>
      </c>
      <c r="G10" s="28" t="inlineStr">
        <is>
          <t>T1-01</t>
        </is>
      </c>
      <c r="H10" s="28" t="inlineStr">
        <is>
          <t>لا</t>
        </is>
      </c>
      <c r="I10" s="28" t="inlineStr">
        <is>
          <t>Endpoint موجود في Backend؛ بعض الردود غير موثقة في Swagger، لذلك يلزم JSON Runtime قبل تثبيت النوع النهائي.</t>
        </is>
      </c>
    </row>
    <row r="11" ht="42" customHeight="1" s="26">
      <c r="A11" s="28" t="inlineStr">
        <is>
          <t>NE-11</t>
        </is>
      </c>
      <c r="B11" s="28" t="inlineStr">
        <is>
          <t>طلاب المجموعة</t>
        </is>
      </c>
      <c r="C11" s="28" t="inlineStr">
        <is>
          <t>عينة JSON</t>
        </is>
      </c>
      <c r="D11" s="28" t="inlineStr">
        <is>
          <t>GET Course/GetGroupStudents?groupId&amp;keyword</t>
        </is>
      </c>
      <c r="E11" s="28" t="inlineStr">
        <is>
          <t>Q-02</t>
        </is>
      </c>
      <c r="F11" s="28" t="inlineStr">
        <is>
          <t>رد بطلاب (الحقول المرجعة)</t>
        </is>
      </c>
      <c r="G11" s="28" t="inlineStr">
        <is>
          <t>T3-01، T3-02، T3-03، T3-04</t>
        </is>
      </c>
      <c r="H11" s="28" t="inlineStr">
        <is>
          <t>لا</t>
        </is>
      </c>
      <c r="I11" s="28" t="inlineStr">
        <is>
          <t>Endpoint موجود في Backend؛ بعض الردود غير موثقة في Swagger، لذلك يلزم JSON Runtime قبل تثبيت النوع النهائي.</t>
        </is>
      </c>
    </row>
    <row r="12" ht="42" customHeight="1" s="26">
      <c r="A12" s="28" t="inlineStr">
        <is>
          <t>NE-12</t>
        </is>
      </c>
      <c r="B12" s="28" t="inlineStr">
        <is>
          <t>جدول دروس الكورس (معلم)</t>
        </is>
      </c>
      <c r="C12" s="28" t="inlineStr">
        <is>
          <t>عينة JSON</t>
        </is>
      </c>
      <c r="D12" s="28" t="inlineStr">
        <is>
          <t>GET Lesson/GetSchedule?courseId&amp;groupId</t>
        </is>
      </c>
      <c r="E12" s="28" t="inlineStr">
        <is>
          <t>Q-02</t>
        </is>
      </c>
      <c r="F12" s="28" t="inlineStr">
        <is>
          <t>رد بدروس حضورية وأونلاين</t>
        </is>
      </c>
      <c r="G12" s="28" t="inlineStr">
        <is>
          <t>T4-01، T4-05</t>
        </is>
      </c>
      <c r="H12" s="28" t="inlineStr">
        <is>
          <t>لا</t>
        </is>
      </c>
      <c r="I12" s="28" t="inlineStr">
        <is>
          <t>يحتاج عينة/اختبار Runtime إذا كان Excel يطلب schema فعليًا.</t>
        </is>
      </c>
    </row>
    <row r="13" ht="42" customHeight="1" s="26">
      <c r="A13" s="28" t="inlineStr">
        <is>
          <t>NE-13</t>
        </is>
      </c>
      <c r="B13" s="28" t="inlineStr">
        <is>
          <t>مصدر المادة/التصنيف/الصف (IDs)</t>
        </is>
      </c>
      <c r="C13" s="28" t="inlineStr">
        <is>
          <t>عينة JSON + قرار</t>
        </is>
      </c>
      <c r="D13" s="28" t="inlineStr">
        <is>
          <t>GET Teacher/CreateEditModal · POST Constant/GetAll</t>
        </is>
      </c>
      <c r="E13" s="28" t="inlineStr">
        <is>
          <t>Q-04</t>
        </is>
      </c>
      <c r="F13" s="28" t="inlineStr">
        <is>
          <t>من أين نجلب subjectId/categoryId/gradeId؟ مع الرد الفعلي (وأي parentId لـConstant)</t>
        </is>
      </c>
      <c r="G13" s="28" t="inlineStr">
        <is>
          <t>T1-03، T1-04، T1-05، T1-06، S1-03، S1-05</t>
        </is>
      </c>
      <c r="H13" s="28" t="inlineStr">
        <is>
          <t>لا</t>
        </is>
      </c>
      <c r="I13" s="28" t="inlineStr">
        <is>
          <t>Endpoint موجود في Backend؛ بعض الردود غير موثقة في Swagger، لذلك يلزم JSON Runtime قبل تثبيت النوع النهائي.</t>
        </is>
      </c>
    </row>
    <row r="14" ht="42" customHeight="1" s="26">
      <c r="A14" s="28" t="inlineStr">
        <is>
          <t>NE-14</t>
        </is>
      </c>
      <c r="B14" s="28" t="inlineStr">
        <is>
          <t>تحقق اختياري: أنواع موجودة بالكود قد تكون قديمة بعد تحديث الباك اند (لا تحجب أي مهمة)</t>
        </is>
      </c>
      <c r="C14" s="28" t="inlineStr">
        <is>
          <t>تحقق اختياري</t>
        </is>
      </c>
      <c r="D14" s="28" t="inlineStr">
        <is>
          <t>GET Student/Dashboard · Student/Schedule · Student/Progress · Parent/MyChildren · Parent/ChildAttendance · Parent/ChildExamResults · Wallet/MyWallet · POST Wallet/GetTransactionHistory · Teacher/PublicProfile · Teacher/Availability</t>
        </is>
      </c>
      <c r="E14" s="28" t="inlineStr">
        <is>
          <t>—</t>
        </is>
      </c>
      <c r="F14" s="28" t="inlineStr">
        <is>
          <t>هذه الردود غير موثّقة بالـSwagger أيضًا، لكن أنواعها منسوخة بالكود من DTOs الباك اند. إن تغيّر الباك اند قد تكون قديمة؛ عيّنة واحدة لكل endpoint تكفي للتأكد</t>
        </is>
      </c>
      <c r="G14" s="28" t="n">
        <v/>
      </c>
      <c r="H14" s="28" t="inlineStr">
        <is>
          <t>لا</t>
        </is>
      </c>
      <c r="I14" s="28" t="inlineStr">
        <is>
          <t>يحتاج عينة/اختبار Runtime إذا كان Excel يطلب schema فعليًا.</t>
        </is>
      </c>
    </row>
    <row r="15" ht="42" customHeight="1" s="26">
      <c r="A15" s="28" t="inlineStr">
        <is>
          <t>قرارات/أسئلة لا تحجب بدء مهمة لكنها تغيّر السلوك أو النصوص (تفاصيلها بورقة OpenQuestions): Q-06 · Q-07 · Q-11 · Q-12 · Q-14 · Q-15 · Q-18 · Q-19 · Q-20 · Q-21. وQ-17 (حسابات اختبار) تحجب QA فقط.</t>
        </is>
      </c>
      <c r="B15" s="28" t="n">
        <v/>
      </c>
      <c r="C15" s="28" t="n">
        <v/>
      </c>
      <c r="D15" s="28" t="inlineStr">
        <is>
          <t>nan</t>
        </is>
      </c>
      <c r="E15" s="28" t="n">
        <v/>
      </c>
      <c r="F15" s="28" t="inlineStr">
        <is>
          <t>nan</t>
        </is>
      </c>
      <c r="G15" s="28" t="n">
        <v/>
      </c>
      <c r="H15" s="28" t="n">
        <v/>
      </c>
      <c r="I15" s="28" t="inlineStr">
        <is>
          <t>يحتاج عينة/اختبار Runtime إذا كان Excel يطلب schema فعليًا.</t>
        </is>
      </c>
    </row>
  </sheetData>
  <autoFilter ref="A1:I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8" customWidth="1" style="26" min="1" max="1"/>
    <col width="42" customWidth="1" style="26" min="2" max="2"/>
    <col width="38" customWidth="1" style="26" min="3" max="3"/>
    <col width="100" customWidth="1" style="26" min="4" max="4"/>
    <col width="35" customWidth="1" style="26" min="5" max="5"/>
  </cols>
  <sheetData>
    <row r="1" ht="42" customHeight="1" s="26">
      <c r="A1" s="48" t="inlineStr">
        <is>
          <t>المجال</t>
        </is>
      </c>
      <c r="B1" s="48" t="inlineStr">
        <is>
          <t>الملف</t>
        </is>
      </c>
      <c r="C1" s="48" t="inlineStr">
        <is>
          <t>الرمز/الميثود</t>
        </is>
      </c>
      <c r="D1" s="48" t="inlineStr">
        <is>
          <t>ما يثبته الكود</t>
        </is>
      </c>
      <c r="E1" s="48" t="inlineStr">
        <is>
          <t>FR/Q ذات الصلة</t>
        </is>
      </c>
    </row>
    <row r="2" ht="42" customHeight="1" s="26">
      <c r="A2" s="28" t="inlineStr">
        <is>
          <t>Booking payment</t>
        </is>
      </c>
      <c r="B2" s="28" t="inlineStr">
        <is>
          <t>BookingService.cs</t>
        </is>
      </c>
      <c r="C2" s="28" t="inlineStr">
        <is>
          <t>DecideBookingAsync</t>
        </is>
      </c>
      <c r="D2" s="28" t="inlineStr">
        <is>
          <t>Accept path checks wallet balance; deducts current.Price; calculates commission; credits instructor net; atomic transaction.</t>
        </is>
      </c>
      <c r="E2" s="28" t="inlineStr">
        <is>
          <t>FR-T06 / W03b / Q-06</t>
        </is>
      </c>
    </row>
    <row r="3" ht="42" customHeight="1" s="26">
      <c r="A3" s="28" t="inlineStr">
        <is>
          <t>Booking submit</t>
        </is>
      </c>
      <c r="B3" s="28" t="inlineStr">
        <is>
          <t>BookingService.cs</t>
        </is>
      </c>
      <c r="C3" s="28" t="inlineStr">
        <is>
          <t>SubmitBookingRequestAsync</t>
        </is>
      </c>
      <c r="D3" s="28" t="inlineStr">
        <is>
          <t>Creates Pending booking and sets OperationResult.ReturnId = booking.Id.</t>
        </is>
      </c>
      <c r="E3" s="28" t="inlineStr">
        <is>
          <t>FR-T05 / Q-21</t>
        </is>
      </c>
    </row>
    <row r="4" ht="42" customHeight="1" s="26">
      <c r="A4" s="28" t="inlineStr">
        <is>
          <t>Booking cancel</t>
        </is>
      </c>
      <c r="B4" s="28" t="inlineStr">
        <is>
          <t>BookingService.cs</t>
        </is>
      </c>
      <c r="C4" s="28" t="inlineStr">
        <is>
          <t>CancelBookingAsync</t>
        </is>
      </c>
      <c r="D4" s="28" t="inlineStr">
        <is>
          <t>Student paid cancellation requires &gt;24h; paid booking is reversed; status becomes Cancelled.</t>
        </is>
      </c>
      <c r="E4" s="28" t="inlineStr">
        <is>
          <t>FR-S14 / Q-08</t>
        </is>
      </c>
    </row>
    <row r="5" ht="42" customHeight="1" s="26">
      <c r="A5" s="28" t="inlineStr">
        <is>
          <t>Reschedule</t>
        </is>
      </c>
      <c r="B5" s="28" t="inlineStr">
        <is>
          <t>BookingService.cs</t>
        </is>
      </c>
      <c r="C5" s="28" t="inlineStr">
        <is>
          <t>RequestRescheduleAsync</t>
        </is>
      </c>
      <c r="D5" s="28" t="inlineStr">
        <is>
          <t>Confirmed only, future, no duplicate pending, no conflict.</t>
        </is>
      </c>
      <c r="E5" s="28" t="inlineStr">
        <is>
          <t>FR-S15 / Q-09</t>
        </is>
      </c>
    </row>
    <row r="6" ht="42" customHeight="1" s="26">
      <c r="A6" s="28" t="inlineStr">
        <is>
          <t>Teacher rating</t>
        </is>
      </c>
      <c r="B6" s="28" t="inlineStr">
        <is>
          <t>BookingService.cs</t>
        </is>
      </c>
      <c r="C6" s="28" t="inlineStr">
        <is>
          <t>RateTeacherAsync</t>
        </is>
      </c>
      <c r="D6" s="28" t="inlineStr">
        <is>
          <t>Completed booking only; TeacherRating uniqueness by BookingId check.</t>
        </is>
      </c>
      <c r="E6" s="28" t="inlineStr">
        <is>
          <t>FR-T11 / Q-10</t>
        </is>
      </c>
    </row>
    <row r="7" ht="42" customHeight="1" s="26">
      <c r="A7" s="28" t="inlineStr">
        <is>
          <t>Teacher course filtering</t>
        </is>
      </c>
      <c r="B7" s="28" t="inlineStr">
        <is>
          <t>CourseController.cs</t>
        </is>
      </c>
      <c r="C7" s="28" t="inlineStr">
        <is>
          <t>GetAll</t>
        </is>
      </c>
      <c r="D7" s="28" t="inlineStr">
        <is>
          <t>Teacher accounts are resolved to TeacherId and filtered; admin sees all.</t>
        </is>
      </c>
      <c r="E7" s="28" t="inlineStr">
        <is>
          <t>Q-01 / FR-I01</t>
        </is>
      </c>
    </row>
    <row r="8" ht="42" customHeight="1" s="26">
      <c r="A8" s="28" t="inlineStr">
        <is>
          <t>Course/group creation</t>
        </is>
      </c>
      <c r="B8" s="28" t="inlineStr">
        <is>
          <t>CourseService.cs</t>
        </is>
      </c>
      <c r="C8" s="28" t="inlineStr">
        <is>
          <t>CreateEditAsync</t>
        </is>
      </c>
      <c r="D8" s="28" t="inlineStr">
        <is>
          <t>Creating course also creates Group with GroupName, GradeId, TeacherId, CourseId, MaxStudents.</t>
        </is>
      </c>
      <c r="E8" s="28" t="inlineStr">
        <is>
          <t>FR-I01/I02/I05/I06 / Q-02</t>
        </is>
      </c>
    </row>
    <row r="9" ht="42" customHeight="1" s="26">
      <c r="A9" s="28" t="inlineStr">
        <is>
          <t>Group schedule</t>
        </is>
      </c>
      <c r="B9" s="28" t="inlineStr">
        <is>
          <t>CourseController.cs / DTO</t>
        </is>
      </c>
      <c r="C9" s="28" t="inlineStr">
        <is>
          <t>ConfigureGroupSchedule</t>
        </is>
      </c>
      <c r="D9" s="28" t="inlineStr">
        <is>
          <t>GroupId, MaxStudents, dates, default lesson duration, scheduleDays.</t>
        </is>
      </c>
      <c r="E9" s="28" t="inlineStr">
        <is>
          <t>FR-I02/I06</t>
        </is>
      </c>
    </row>
    <row r="10" ht="42" customHeight="1" s="26">
      <c r="A10" s="28" t="inlineStr">
        <is>
          <t>Group students</t>
        </is>
      </c>
      <c r="B10" s="28" t="inlineStr">
        <is>
          <t>CourseController.cs</t>
        </is>
      </c>
      <c r="C10" s="28" t="inlineStr">
        <is>
          <t>GetGroupStudents</t>
        </is>
      </c>
      <c r="D10" s="28" t="inlineStr">
        <is>
          <t>Ownership enforced before returning roster.</t>
        </is>
      </c>
      <c r="E10" s="28" t="inlineStr">
        <is>
          <t>FR-I03</t>
        </is>
      </c>
    </row>
    <row r="11" ht="42" customHeight="1" s="26">
      <c r="A11" s="28" t="inlineStr">
        <is>
          <t>Lessons</t>
        </is>
      </c>
      <c r="B11" s="28" t="inlineStr">
        <is>
          <t>LessonController.cs</t>
        </is>
      </c>
      <c r="C11" s="28" t="inlineStr">
        <is>
          <t>Create/Update/ConfigureMeeting/Cancel/GetSchedule</t>
        </is>
      </c>
      <c r="D11" s="28" t="inlineStr">
        <is>
          <t>Full CRUD-ish lesson scheduling plus meeting configuration and schedule retrieval.</t>
        </is>
      </c>
      <c r="E11" s="28" t="inlineStr">
        <is>
          <t>FR-I04/I08/I07/I09/I10/I11</t>
        </is>
      </c>
    </row>
    <row r="12" ht="42" customHeight="1" s="26">
      <c r="A12" s="28" t="inlineStr">
        <is>
          <t>Student lesson</t>
        </is>
      </c>
      <c r="B12" s="28" t="inlineStr">
        <is>
          <t>StudentDtos.cs</t>
        </is>
      </c>
      <c r="C12" s="28" t="inlineStr">
        <is>
          <t>StudentLessonDetailDto</t>
        </is>
      </c>
      <c r="D12" s="28" t="inlineStr">
        <is>
          <t>Room, MeetingPlatform, MeetingUrl, MeetingInstructions, LocationAvailable.</t>
        </is>
      </c>
      <c r="E12" s="28" t="inlineStr">
        <is>
          <t>FR-S06/S07</t>
        </is>
      </c>
    </row>
    <row r="13" ht="42" customHeight="1" s="26">
      <c r="A13" s="28" t="inlineStr">
        <is>
          <t>Student course</t>
        </is>
      </c>
      <c r="B13" s="28" t="inlineStr">
        <is>
          <t>StudentDtos.cs</t>
        </is>
      </c>
      <c r="C13" s="28" t="inlineStr">
        <is>
          <t>StudentCourseDetailDto</t>
        </is>
      </c>
      <c r="D13" s="28" t="inlineStr">
        <is>
          <t>Groups and Lessons collections.</t>
        </is>
      </c>
      <c r="E13" s="28" t="inlineStr">
        <is>
          <t>FR-S08</t>
        </is>
      </c>
    </row>
    <row r="14" ht="42" customHeight="1" s="26">
      <c r="A14" s="28" t="inlineStr">
        <is>
          <t>Student attendance</t>
        </is>
      </c>
      <c r="B14" s="28" t="inlineStr">
        <is>
          <t>StudentDtos.cs</t>
        </is>
      </c>
      <c r="C14" s="28" t="inlineStr">
        <is>
          <t>StudentAttendanceDto</t>
        </is>
      </c>
      <c r="D14" s="28" t="inlineStr">
        <is>
          <t>Rate + totals + records.</t>
        </is>
      </c>
      <c r="E14" s="28" t="inlineStr">
        <is>
          <t>FR-S09</t>
        </is>
      </c>
    </row>
    <row r="15" ht="42" customHeight="1" s="26">
      <c r="A15" s="28" t="inlineStr">
        <is>
          <t>Student exams</t>
        </is>
      </c>
      <c r="B15" s="28" t="inlineStr">
        <is>
          <t>StudentDtos.cs</t>
        </is>
      </c>
      <c r="C15" s="28" t="inlineStr">
        <is>
          <t>StudentExamResultDto</t>
        </is>
      </c>
      <c r="D15" s="28" t="inlineStr">
        <is>
          <t>Score, TotalMarks, Percentage, Feedback.</t>
        </is>
      </c>
      <c r="E15" s="28" t="inlineStr">
        <is>
          <t>FR-S10</t>
        </is>
      </c>
    </row>
    <row r="16" ht="42" customHeight="1" s="26">
      <c r="A16" s="28" t="inlineStr">
        <is>
          <t>Student progress</t>
        </is>
      </c>
      <c r="B16" s="28" t="inlineStr">
        <is>
          <t>StudentDtos.cs</t>
        </is>
      </c>
      <c r="C16" s="28" t="inlineStr">
        <is>
          <t>StudentProgressDto</t>
        </is>
      </c>
      <c r="D16" s="28" t="inlineStr">
        <is>
          <t>Attendance rate + exam average + counts.</t>
        </is>
      </c>
      <c r="E16" s="28" t="inlineStr">
        <is>
          <t>FR-S11</t>
        </is>
      </c>
    </row>
    <row r="17" ht="42" customHeight="1" s="26">
      <c r="A17" s="28" t="inlineStr">
        <is>
          <t>Parent access</t>
        </is>
      </c>
      <c r="B17" s="28" t="inlineStr">
        <is>
          <t>ParentService.cs</t>
        </is>
      </c>
      <c r="C17" s="28" t="inlineStr">
        <is>
          <t>HasAccessAsync</t>
        </is>
      </c>
      <c r="D17" s="28" t="inlineStr">
        <is>
          <t>ParentStudentLinks is checked before child attendance/exams.</t>
        </is>
      </c>
      <c r="E17" s="28" t="inlineStr">
        <is>
          <t>FR-P08</t>
        </is>
      </c>
    </row>
    <row r="18" ht="42" customHeight="1" s="26">
      <c r="A18" s="28" t="inlineStr">
        <is>
          <t>Parent notifications count</t>
        </is>
      </c>
      <c r="B18" s="28" t="inlineStr">
        <is>
          <t>ParentService.cs</t>
        </is>
      </c>
      <c r="C18" s="28" t="inlineStr">
        <is>
          <t>GetMyChildrenAsync</t>
        </is>
      </c>
      <c r="D18" s="28" t="inlineStr">
        <is>
          <t>UnreadNotificationsCount is counted for parent user account; no list endpoint.</t>
        </is>
      </c>
      <c r="E18" s="28" t="inlineStr">
        <is>
          <t>FR-P11 / Q-11</t>
        </is>
      </c>
    </row>
    <row r="19" ht="42" customHeight="1" s="26">
      <c r="A19" s="28" t="inlineStr">
        <is>
          <t>Parent-child link</t>
        </is>
      </c>
      <c r="B19" s="28" t="inlineStr">
        <is>
          <t>ParentStudentLink.cs</t>
        </is>
      </c>
      <c r="C19" s="28" t="inlineStr">
        <is>
          <t>ParentStudentLink</t>
        </is>
      </c>
      <c r="D19" s="28" t="inlineStr">
        <is>
          <t>ParentUserId ↔ StudentId relation exists.</t>
        </is>
      </c>
      <c r="E19" s="28" t="inlineStr">
        <is>
          <t>FR-P04/P05/P08</t>
        </is>
      </c>
    </row>
    <row r="20" ht="42" customHeight="1" s="26">
      <c r="A20" s="28" t="inlineStr">
        <is>
          <t>Student login link</t>
        </is>
      </c>
      <c r="B20" s="28" t="inlineStr">
        <is>
          <t>Student.cs / OwnershipService.cs</t>
        </is>
      </c>
      <c r="C20" s="28" t="inlineStr">
        <is>
          <t>UserId + GetStudentIdForUserAsync</t>
        </is>
      </c>
      <c r="D20" s="28" t="inlineStr">
        <is>
          <t>Student profile can be linked to login account.</t>
        </is>
      </c>
      <c r="E20" s="28" t="inlineStr">
        <is>
          <t>Q-17</t>
        </is>
      </c>
    </row>
    <row r="21" ht="42" customHeight="1" s="26">
      <c r="A21" s="28" t="inlineStr">
        <is>
          <t>Teacher login link</t>
        </is>
      </c>
      <c r="B21" s="28" t="inlineStr">
        <is>
          <t>OwnershipService.cs</t>
        </is>
      </c>
      <c r="C21" s="28" t="inlineStr">
        <is>
          <t>GetTeacherIdForUserAsync / OwnsTeacherAsync</t>
        </is>
      </c>
      <c r="D21" s="28" t="inlineStr">
        <is>
          <t>Teacher profile is linked through UserId and ownership checks.</t>
        </is>
      </c>
      <c r="E21" s="28" t="inlineStr">
        <is>
          <t>Q-03</t>
        </is>
      </c>
    </row>
    <row r="22" ht="42" customHeight="1" s="26">
      <c r="A22" s="28" t="inlineStr">
        <is>
          <t>Join request</t>
        </is>
      </c>
      <c r="B22" s="28" t="inlineStr">
        <is>
          <t>JoinRequestService.cs</t>
        </is>
      </c>
      <c r="C22" s="28" t="inlineStr">
        <is>
          <t>DecideAsync</t>
        </is>
      </c>
      <c r="D22" s="28" t="inlineStr">
        <is>
          <t>Accept path handles fee, wallet deduction, commission, teacher net and enrollment.</t>
        </is>
      </c>
      <c r="E22" s="28" t="inlineStr">
        <is>
          <t>FR-W03a/W03b / Q-19</t>
        </is>
      </c>
    </row>
    <row r="23" ht="42" customHeight="1" s="26">
      <c r="A23" s="28" t="inlineStr">
        <is>
          <t>Commission</t>
        </is>
      </c>
      <c r="B23" s="28" t="inlineStr">
        <is>
          <t>PlatformCommissionController.cs</t>
        </is>
      </c>
      <c r="C23" s="28" t="inlineStr">
        <is>
          <t>Current/History/Set</t>
        </is>
      </c>
      <c r="D23" s="28" t="inlineStr">
        <is>
          <t>Commission management endpoints exist but are Admin-only.</t>
        </is>
      </c>
      <c r="E23" s="28" t="inlineStr">
        <is>
          <t>Q-12</t>
        </is>
      </c>
    </row>
    <row r="24" ht="42" customHeight="1" s="26">
      <c r="A24" s="28" t="inlineStr">
        <is>
          <t>Wallet</t>
        </is>
      </c>
      <c r="B24" s="28" t="inlineStr">
        <is>
          <t>WalletController.cs</t>
        </is>
      </c>
      <c r="C24" s="28" t="inlineStr">
        <is>
          <t>MyWallet/GetTransactionHistory</t>
        </is>
      </c>
      <c r="D24" s="28" t="inlineStr">
        <is>
          <t>Student/teacher wallet balance and transaction history available.</t>
        </is>
      </c>
      <c r="E24" s="28" t="inlineStr">
        <is>
          <t>FR-S13/W03b</t>
        </is>
      </c>
    </row>
    <row r="25" ht="42" customHeight="1" s="26">
      <c r="A25" s="28" t="inlineStr">
        <is>
          <t>Auth</t>
        </is>
      </c>
      <c r="B25" s="28" t="inlineStr">
        <is>
          <t>AuthController.cs</t>
        </is>
      </c>
      <c r="C25" s="28" t="inlineStr">
        <is>
          <t>Login/Register/Logout</t>
        </is>
      </c>
      <c r="D25" s="28" t="inlineStr">
        <is>
          <t>Authentication endpoints present.</t>
        </is>
      </c>
      <c r="E25" s="28" t="inlineStr">
        <is>
          <t>Account prerequisites</t>
        </is>
      </c>
    </row>
  </sheetData>
  <autoFilter ref="A1:E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2" customWidth="1" style="26" min="1" max="1"/>
    <col width="35" customWidth="1" style="26" min="2" max="2"/>
    <col width="22" customWidth="1" style="26" min="3" max="3"/>
    <col width="20" customWidth="1" style="26" min="4" max="4"/>
    <col width="22" customWidth="1" style="26" min="5" max="5"/>
    <col width="45" customWidth="1" style="26" min="6" max="6"/>
    <col width="65" customWidth="1" style="26" min="7" max="7"/>
    <col width="20" customWidth="1" style="26" min="8" max="8"/>
  </cols>
  <sheetData>
    <row r="1" ht="42" customHeight="1" s="26">
      <c r="A1" s="48" t="inlineStr">
        <is>
          <t>FR</t>
        </is>
      </c>
      <c r="B1" s="48" t="inlineStr">
        <is>
          <t>الاسم</t>
        </is>
      </c>
      <c r="C1" s="48" t="inlineStr">
        <is>
          <t>حالة التقرير</t>
        </is>
      </c>
      <c r="D1" s="48" t="inlineStr">
        <is>
          <t>الحالة الحالية</t>
        </is>
      </c>
      <c r="E1" s="48" t="inlineStr">
        <is>
          <t>Backend</t>
        </is>
      </c>
      <c r="F1" s="48" t="inlineStr">
        <is>
          <t>المسار المتاح</t>
        </is>
      </c>
      <c r="G1" s="48" t="inlineStr">
        <is>
          <t>الخطوة العملية للFrontend</t>
        </is>
      </c>
      <c r="H1" s="48" t="inlineStr">
        <is>
          <t>WP</t>
        </is>
      </c>
    </row>
    <row r="2" ht="42" customHeight="1" s="26">
      <c r="A2" s="28" t="inlineStr">
        <is>
          <t>FR-I02</t>
        </is>
      </c>
      <c r="B2" s="28" t="inlineStr">
        <is>
          <t>إعداد مجموعة طلاب حضورية</t>
        </is>
      </c>
      <c r="C2" s="28" t="inlineStr">
        <is>
          <t>غير جاهز</t>
        </is>
      </c>
      <c r="D2" s="28" t="inlineStr">
        <is>
          <t>قيد التنفيذ</t>
        </is>
      </c>
      <c r="E2" s="49" t="inlineStr">
        <is>
          <t>مدعوم بالكامل</t>
        </is>
      </c>
      <c r="F2" s="28" t="inlineStr">
        <is>
          <t>Course/ConfigureGroupSchedule</t>
        </is>
      </c>
      <c r="G2" s="28" t="inlineStr">
        <is>
          <t>Backend جاهز؛ المطلوب Frontend + ربط endpoint + UAT.</t>
        </is>
      </c>
      <c r="H2" s="28" t="inlineStr">
        <is>
          <t>WP-T2</t>
        </is>
      </c>
    </row>
    <row r="3" ht="42" customHeight="1" s="26">
      <c r="A3" s="28" t="inlineStr">
        <is>
          <t>FR-I03</t>
        </is>
      </c>
      <c r="B3" s="28" t="inlineStr">
        <is>
          <t>عرض طلاب المجموعة</t>
        </is>
      </c>
      <c r="C3" s="28" t="inlineStr">
        <is>
          <t>غير جاهز</t>
        </is>
      </c>
      <c r="D3" s="28" t="inlineStr">
        <is>
          <t>لم يبدأ</t>
        </is>
      </c>
      <c r="E3" s="49" t="inlineStr">
        <is>
          <t>مدعوم بالكامل</t>
        </is>
      </c>
      <c r="F3" s="28" t="inlineStr">
        <is>
          <t>Course/GetGroupStudents</t>
        </is>
      </c>
      <c r="G3" s="28" t="inlineStr">
        <is>
          <t>Backend جاهز؛ المطلوب Frontend + ربط endpoint + UAT.</t>
        </is>
      </c>
      <c r="H3" s="28" t="inlineStr">
        <is>
          <t>WP-T3</t>
        </is>
      </c>
    </row>
    <row r="4" ht="42" customHeight="1" s="26">
      <c r="A4" s="28" t="inlineStr">
        <is>
          <t>FR-I04</t>
        </is>
      </c>
      <c r="B4" s="28" t="inlineStr">
        <is>
          <t>إنشاء وجدولة دروس حضورية</t>
        </is>
      </c>
      <c r="C4" s="28" t="inlineStr">
        <is>
          <t>غير جاهز</t>
        </is>
      </c>
      <c r="D4" s="28" t="inlineStr">
        <is>
          <t>قيد التنفيذ</t>
        </is>
      </c>
      <c r="E4" s="49" t="inlineStr">
        <is>
          <t>مدعوم بالكامل</t>
        </is>
      </c>
      <c r="F4" s="28" t="inlineStr">
        <is>
          <t>Lesson/Create</t>
        </is>
      </c>
      <c r="G4" s="28" t="inlineStr">
        <is>
          <t>Backend جاهز؛ المطلوب Frontend + ربط endpoint + UAT.</t>
        </is>
      </c>
      <c r="H4" s="28" t="inlineStr">
        <is>
          <t>WP-T4</t>
        </is>
      </c>
    </row>
    <row r="5" ht="42" customHeight="1" s="26">
      <c r="A5" s="28" t="inlineStr">
        <is>
          <t>FR-I06</t>
        </is>
      </c>
      <c r="B5" s="28" t="inlineStr">
        <is>
          <t>إعداد مجموعة كورس أونلاين</t>
        </is>
      </c>
      <c r="C5" s="28" t="inlineStr">
        <is>
          <t>غير جاهز</t>
        </is>
      </c>
      <c r="D5" s="28" t="inlineStr">
        <is>
          <t>لم يبدأ</t>
        </is>
      </c>
      <c r="E5" s="49" t="inlineStr">
        <is>
          <t>مدعوم بالكامل</t>
        </is>
      </c>
      <c r="F5" s="28" t="inlineStr">
        <is>
          <t>Course/ConfigureGroupSchedule</t>
        </is>
      </c>
      <c r="G5" s="28" t="inlineStr">
        <is>
          <t>Backend جاهز؛ المطلوب Frontend + ربط endpoint + UAT.</t>
        </is>
      </c>
      <c r="H5" s="28" t="inlineStr">
        <is>
          <t>WP-T2</t>
        </is>
      </c>
    </row>
    <row r="6" ht="42" customHeight="1" s="26">
      <c r="A6" s="28" t="inlineStr">
        <is>
          <t>FR-I08</t>
        </is>
      </c>
      <c r="B6" s="28" t="inlineStr">
        <is>
          <t>إنشاء وجدولة دروس أونلاين</t>
        </is>
      </c>
      <c r="C6" s="28" t="inlineStr">
        <is>
          <t>غير جاهز</t>
        </is>
      </c>
      <c r="D6" s="28" t="inlineStr">
        <is>
          <t>قيد التنفيذ</t>
        </is>
      </c>
      <c r="E6" s="49" t="inlineStr">
        <is>
          <t>مدعوم بالكامل</t>
        </is>
      </c>
      <c r="F6" s="28" t="inlineStr">
        <is>
          <t>Lesson/Create + ConfigureMeeting</t>
        </is>
      </c>
      <c r="G6" s="28" t="inlineStr">
        <is>
          <t>Backend جاهز؛ المطلوب Frontend + ربط endpoint + UAT.</t>
        </is>
      </c>
      <c r="H6" s="28" t="inlineStr">
        <is>
          <t>WP-T4</t>
        </is>
      </c>
    </row>
    <row r="7" ht="42" customHeight="1" s="26">
      <c r="A7" s="28" t="inlineStr">
        <is>
          <t>FR-T06</t>
        </is>
      </c>
      <c r="B7" s="28" t="inlineStr">
        <is>
          <t>معالجة دفع الحجز</t>
        </is>
      </c>
      <c r="C7" s="28" t="inlineStr">
        <is>
          <t>غير جاهز</t>
        </is>
      </c>
      <c r="D7" s="28" t="inlineStr">
        <is>
          <t>قيد التنفيذ</t>
        </is>
      </c>
      <c r="E7" s="49" t="inlineStr">
        <is>
          <t>مدعوم بالكامل</t>
        </is>
      </c>
      <c r="F7" s="28" t="inlineStr">
        <is>
          <t>Booking/Submit + Booking/Decide</t>
        </is>
      </c>
      <c r="G7" s="28" t="inlineStr">
        <is>
          <t>Backend جاهز؛ المطلوب Frontend + ربط endpoint + UAT.</t>
        </is>
      </c>
      <c r="H7" s="28" t="inlineStr">
        <is>
          <t>WP-S1, WP-T5</t>
        </is>
      </c>
    </row>
    <row r="8" ht="42" customHeight="1" s="26">
      <c r="A8" s="28" t="inlineStr">
        <is>
          <t>FR-T11</t>
        </is>
      </c>
      <c r="B8" s="28" t="inlineStr">
        <is>
          <t>تقييم المعلم بعد الجلسة</t>
        </is>
      </c>
      <c r="C8" s="28" t="inlineStr">
        <is>
          <t>غير جاهز</t>
        </is>
      </c>
      <c r="D8" s="28" t="inlineStr">
        <is>
          <t>قيد التنفيذ</t>
        </is>
      </c>
      <c r="E8" s="49" t="inlineStr">
        <is>
          <t>مدعوم بالكامل</t>
        </is>
      </c>
      <c r="F8" s="28" t="inlineStr">
        <is>
          <t>Booking/Rate</t>
        </is>
      </c>
      <c r="G8" s="28" t="inlineStr">
        <is>
          <t>Backend جاهز؛ المطلوب Frontend + ربط endpoint + UAT.</t>
        </is>
      </c>
      <c r="H8" s="28" t="inlineStr">
        <is>
          <t>WP-S4</t>
        </is>
      </c>
    </row>
    <row r="9" ht="42" customHeight="1" s="26">
      <c r="A9" s="28" t="inlineStr">
        <is>
          <t>FR-W03a</t>
        </is>
      </c>
      <c r="B9" s="28" t="inlineStr">
        <is>
          <t>خصم رسوم التسجيل من محفظة الطالب</t>
        </is>
      </c>
      <c r="C9" s="50" t="inlineStr">
        <is>
          <t>جزئي</t>
        </is>
      </c>
      <c r="D9" s="28" t="inlineStr">
        <is>
          <t>قيد التنفيذ</t>
        </is>
      </c>
      <c r="E9" s="49" t="inlineStr">
        <is>
          <t>مدعوم بالكامل</t>
        </is>
      </c>
      <c r="F9" s="28" t="inlineStr">
        <is>
          <t>JoinRequest/Decide + Booking/Decide</t>
        </is>
      </c>
      <c r="G9" s="28" t="inlineStr">
        <is>
          <t>Backend جاهز؛ المطلوب Frontend + ربط endpoint + UAT.</t>
        </is>
      </c>
      <c r="H9" s="28" t="inlineStr">
        <is>
          <t>WP-W1</t>
        </is>
      </c>
    </row>
    <row r="10" ht="42" customHeight="1" s="26">
      <c r="A10" s="28" t="inlineStr">
        <is>
          <t>FR-W03b</t>
        </is>
      </c>
      <c r="B10" s="28" t="inlineStr">
        <is>
          <t>إيداع أرباح المعلم بعد العمولة</t>
        </is>
      </c>
      <c r="C10" s="50" t="inlineStr">
        <is>
          <t>جزئي</t>
        </is>
      </c>
      <c r="D10" s="28" t="inlineStr">
        <is>
          <t>قيد التنفيذ</t>
        </is>
      </c>
      <c r="E10" s="49" t="inlineStr">
        <is>
          <t>مدعوم بالكامل</t>
        </is>
      </c>
      <c r="F10" s="28" t="inlineStr">
        <is>
          <t>JoinRequest/Decide + Booking/Decide</t>
        </is>
      </c>
      <c r="G10" s="28" t="inlineStr">
        <is>
          <t>Backend جاهز؛ المطلوب Frontend + ربط endpoint + UAT.</t>
        </is>
      </c>
      <c r="H10" s="28" t="inlineStr">
        <is>
          <t>WP-W2</t>
        </is>
      </c>
    </row>
    <row r="11" ht="42" customHeight="1" s="26">
      <c r="A11" s="28" t="inlineStr">
        <is>
          <t>FR-P04</t>
        </is>
      </c>
      <c r="B11" s="28" t="inlineStr">
        <is>
          <t>عرض حضور الطالب (ولي أمر)</t>
        </is>
      </c>
      <c r="C11" s="28" t="inlineStr">
        <is>
          <t>جاهز</t>
        </is>
      </c>
      <c r="D11" s="28" t="inlineStr">
        <is>
          <t>جاهز (أصلي)</t>
        </is>
      </c>
      <c r="E11" s="49" t="inlineStr">
        <is>
          <t>مدعوم بالكامل</t>
        </is>
      </c>
      <c r="F11" s="28" t="inlineStr">
        <is>
          <t>Parent/ChildAttendance</t>
        </is>
      </c>
      <c r="G11" s="28" t="inlineStr">
        <is>
          <t>تحقق إضافي.</t>
        </is>
      </c>
      <c r="H11" s="28" t="inlineStr">
        <is>
          <t>—</t>
        </is>
      </c>
    </row>
    <row r="12" ht="42" customHeight="1" s="26">
      <c r="A12" s="28" t="inlineStr">
        <is>
          <t>FR-P05</t>
        </is>
      </c>
      <c r="B12" s="28" t="inlineStr">
        <is>
          <t>عرض نتائج الامتحانات (ولي أمر)</t>
        </is>
      </c>
      <c r="C12" s="28" t="inlineStr">
        <is>
          <t>جاهز</t>
        </is>
      </c>
      <c r="D12" s="28" t="inlineStr">
        <is>
          <t>جاهز (أصلي)</t>
        </is>
      </c>
      <c r="E12" s="49" t="inlineStr">
        <is>
          <t>مدعوم بالكامل</t>
        </is>
      </c>
      <c r="F12" s="28" t="inlineStr">
        <is>
          <t>Parent/ChildExamResults</t>
        </is>
      </c>
      <c r="G12" s="28" t="inlineStr">
        <is>
          <t>تحقق إضافي.</t>
        </is>
      </c>
      <c r="H12" s="28" t="inlineStr">
        <is>
          <t>—</t>
        </is>
      </c>
    </row>
    <row r="13" ht="42" customHeight="1" s="26">
      <c r="A13" s="28" t="inlineStr">
        <is>
          <t>FR-P06</t>
        </is>
      </c>
      <c r="B13" s="28" t="inlineStr">
        <is>
          <t>احتساب نسبة الحضور</t>
        </is>
      </c>
      <c r="C13" s="28" t="inlineStr">
        <is>
          <t>جاهز</t>
        </is>
      </c>
      <c r="D13" s="28" t="inlineStr">
        <is>
          <t>جاهز (أصلي)</t>
        </is>
      </c>
      <c r="E13" s="49" t="inlineStr">
        <is>
          <t>مدعوم بالكامل</t>
        </is>
      </c>
      <c r="F13" s="28" t="inlineStr">
        <is>
          <t>Parent/MyChildren</t>
        </is>
      </c>
      <c r="G13" s="28" t="inlineStr">
        <is>
          <t>تحقق إضافي.</t>
        </is>
      </c>
      <c r="H13" s="28" t="inlineStr">
        <is>
          <t>—</t>
        </is>
      </c>
    </row>
    <row r="14" ht="42" customHeight="1" s="26">
      <c r="A14" s="28" t="inlineStr">
        <is>
          <t>FR-P08</t>
        </is>
      </c>
      <c r="B14" s="28" t="inlineStr">
        <is>
          <t>تقييد وصول ولي الأمر للأبناء المرتبطين</t>
        </is>
      </c>
      <c r="C14" s="50" t="inlineStr">
        <is>
          <t>جزئي</t>
        </is>
      </c>
      <c r="D14" s="28" t="inlineStr">
        <is>
          <t>قيد التنفيذ</t>
        </is>
      </c>
      <c r="E14" s="49" t="inlineStr">
        <is>
          <t>مدعوم بالكامل</t>
        </is>
      </c>
      <c r="F14" s="28" t="inlineStr">
        <is>
          <t>Parent/MyChildren + child access checks</t>
        </is>
      </c>
      <c r="G14" s="28" t="inlineStr">
        <is>
          <t>Backend جاهز؛ المطلوب Frontend + ربط endpoint + UAT.</t>
        </is>
      </c>
      <c r="H14" s="28" t="inlineStr">
        <is>
          <t>WP-P1</t>
        </is>
      </c>
    </row>
    <row r="15" ht="42" customHeight="1" s="26">
      <c r="A15" s="28" t="inlineStr">
        <is>
          <t>FR-P11</t>
        </is>
      </c>
      <c r="B15" s="28" t="inlineStr">
        <is>
          <t>عرض إشعارات ولي الأمر</t>
        </is>
      </c>
      <c r="C15" s="28" t="inlineStr">
        <is>
          <t>غير جاهز</t>
        </is>
      </c>
      <c r="D15" s="28" t="inlineStr">
        <is>
          <t>قيد التنفيذ</t>
        </is>
      </c>
      <c r="E15" s="50" t="inlineStr">
        <is>
          <t>مدعوم جزئيًا</t>
        </is>
      </c>
      <c r="F15" s="28" t="inlineStr">
        <is>
          <t>Parent/MyChildren</t>
        </is>
      </c>
      <c r="G15" s="50" t="inlineStr">
        <is>
          <t>Frontend يمكن تنفيذه جزئيًا؛ يلزم معالجة الجزء غير المتوفر من Backend/قرار UX.</t>
        </is>
      </c>
      <c r="H15" s="28" t="inlineStr">
        <is>
          <t>WP-P1</t>
        </is>
      </c>
    </row>
    <row r="16" ht="42" customHeight="1" s="26">
      <c r="A16" s="28" t="inlineStr">
        <is>
          <t>FR-P13</t>
        </is>
      </c>
      <c r="B16" s="28" t="inlineStr">
        <is>
          <t>عرض اسم وصف الطالب</t>
        </is>
      </c>
      <c r="C16" s="28" t="inlineStr">
        <is>
          <t>جاهز</t>
        </is>
      </c>
      <c r="D16" s="28" t="inlineStr">
        <is>
          <t>جاهز (أصلي)</t>
        </is>
      </c>
      <c r="E16" s="49" t="inlineStr">
        <is>
          <t>مدعوم بالكامل</t>
        </is>
      </c>
      <c r="F16" s="28" t="inlineStr">
        <is>
          <t>Parent/MyChildren</t>
        </is>
      </c>
      <c r="G16" s="28" t="inlineStr">
        <is>
          <t>تحقق إضافي.</t>
        </is>
      </c>
      <c r="H16" s="28" t="inlineStr">
        <is>
          <t>—</t>
        </is>
      </c>
    </row>
    <row r="17" ht="42" customHeight="1" s="26">
      <c r="A17" s="28" t="inlineStr">
        <is>
          <t>FR-S01</t>
        </is>
      </c>
      <c r="B17" s="28" t="inlineStr">
        <is>
          <t>لوحة الطالب</t>
        </is>
      </c>
      <c r="C17" s="28" t="inlineStr">
        <is>
          <t>جاهز</t>
        </is>
      </c>
      <c r="D17" s="28" t="inlineStr">
        <is>
          <t>جاهز (أصلي)</t>
        </is>
      </c>
      <c r="E17" s="49" t="inlineStr">
        <is>
          <t>مدعوم بالكامل</t>
        </is>
      </c>
      <c r="F17" s="28" t="inlineStr">
        <is>
          <t>Student/Dashboard</t>
        </is>
      </c>
      <c r="G17" s="28" t="inlineStr">
        <is>
          <t>تحقق إضافي.</t>
        </is>
      </c>
      <c r="H17" s="28" t="inlineStr">
        <is>
          <t>—</t>
        </is>
      </c>
    </row>
    <row r="18" ht="42" customHeight="1" s="26">
      <c r="A18" s="28" t="inlineStr">
        <is>
          <t>FR-S02</t>
        </is>
      </c>
      <c r="B18" s="28" t="inlineStr">
        <is>
          <t>عرض طلبات الحجز</t>
        </is>
      </c>
      <c r="C18" s="28" t="inlineStr">
        <is>
          <t>جاهز</t>
        </is>
      </c>
      <c r="D18" s="28" t="inlineStr">
        <is>
          <t>جاهز (أصلي)</t>
        </is>
      </c>
      <c r="E18" s="49" t="inlineStr">
        <is>
          <t>مدعوم بالكامل</t>
        </is>
      </c>
      <c r="F18" s="28" t="inlineStr">
        <is>
          <t>Student/MyRequests</t>
        </is>
      </c>
      <c r="G18" s="28" t="inlineStr">
        <is>
          <t>تحقق إضافي.</t>
        </is>
      </c>
      <c r="H18" s="28" t="inlineStr">
        <is>
          <t>—</t>
        </is>
      </c>
    </row>
    <row r="19" ht="42" customHeight="1" s="26">
      <c r="A19" s="28" t="inlineStr">
        <is>
          <t>FR-S03</t>
        </is>
      </c>
      <c r="B19" s="28" t="inlineStr">
        <is>
          <t>عرض حالة الحجز</t>
        </is>
      </c>
      <c r="C19" s="28" t="inlineStr">
        <is>
          <t>جاهز</t>
        </is>
      </c>
      <c r="D19" s="28" t="inlineStr">
        <is>
          <t>جاهز (أصلي)</t>
        </is>
      </c>
      <c r="E19" s="49" t="inlineStr">
        <is>
          <t>مدعوم بالكامل</t>
        </is>
      </c>
      <c r="F19" s="28" t="inlineStr">
        <is>
          <t>Student/GetBooking / MyRequests</t>
        </is>
      </c>
      <c r="G19" s="28" t="inlineStr">
        <is>
          <t>تحقق إضافي.</t>
        </is>
      </c>
      <c r="H19" s="28" t="inlineStr">
        <is>
          <t>—</t>
        </is>
      </c>
    </row>
    <row r="20" ht="42" customHeight="1" s="26">
      <c r="A20" s="28" t="inlineStr">
        <is>
          <t>FR-S04</t>
        </is>
      </c>
      <c r="B20" s="28" t="inlineStr">
        <is>
          <t>عرض الحجوزات المؤكدة</t>
        </is>
      </c>
      <c r="C20" s="28" t="inlineStr">
        <is>
          <t>جاهز</t>
        </is>
      </c>
      <c r="D20" s="28" t="inlineStr">
        <is>
          <t>جاهز (أصلي)</t>
        </is>
      </c>
      <c r="E20" s="49" t="inlineStr">
        <is>
          <t>مدعوم بالكامل</t>
        </is>
      </c>
      <c r="F20" s="28" t="inlineStr">
        <is>
          <t>Student/MyBookings</t>
        </is>
      </c>
      <c r="G20" s="28" t="inlineStr">
        <is>
          <t>تحقق إضافي.</t>
        </is>
      </c>
      <c r="H20" s="28" t="inlineStr">
        <is>
          <t>—</t>
        </is>
      </c>
    </row>
    <row r="21" ht="42" customHeight="1" s="26">
      <c r="A21" s="28" t="inlineStr">
        <is>
          <t>FR-S05</t>
        </is>
      </c>
      <c r="B21" s="28" t="inlineStr">
        <is>
          <t>جدول الطالب</t>
        </is>
      </c>
      <c r="C21" s="28" t="inlineStr">
        <is>
          <t>جاهز</t>
        </is>
      </c>
      <c r="D21" s="28" t="inlineStr">
        <is>
          <t>جاهز (أصلي)</t>
        </is>
      </c>
      <c r="E21" s="49" t="inlineStr">
        <is>
          <t>مدعوم بالكامل</t>
        </is>
      </c>
      <c r="F21" s="28" t="inlineStr">
        <is>
          <t>Student/Schedule</t>
        </is>
      </c>
      <c r="G21" s="28" t="inlineStr">
        <is>
          <t>تحقق إضافي.</t>
        </is>
      </c>
      <c r="H21" s="28" t="inlineStr">
        <is>
          <t>—</t>
        </is>
      </c>
    </row>
    <row r="22" ht="42" customHeight="1" s="26">
      <c r="A22" s="28" t="inlineStr">
        <is>
          <t>FR-S06</t>
        </is>
      </c>
      <c r="B22" s="28" t="inlineStr">
        <is>
          <t>تفاصيل درس حضوري</t>
        </is>
      </c>
      <c r="C22" s="50" t="inlineStr">
        <is>
          <t>جزئي</t>
        </is>
      </c>
      <c r="D22" s="28" t="inlineStr">
        <is>
          <t>قيد التنفيذ</t>
        </is>
      </c>
      <c r="E22" s="49" t="inlineStr">
        <is>
          <t>مدعوم بالكامل</t>
        </is>
      </c>
      <c r="F22" s="28" t="inlineStr">
        <is>
          <t>Student/GetLesson</t>
        </is>
      </c>
      <c r="G22" s="28" t="inlineStr">
        <is>
          <t>Backend جاهز؛ المطلوب Frontend + ربط endpoint + UAT.</t>
        </is>
      </c>
      <c r="H22" s="28" t="inlineStr">
        <is>
          <t>WP-S5</t>
        </is>
      </c>
    </row>
    <row r="23" ht="42" customHeight="1" s="26">
      <c r="A23" s="28" t="inlineStr">
        <is>
          <t>FR-S07</t>
        </is>
      </c>
      <c r="B23" s="28" t="inlineStr">
        <is>
          <t>تفاصيل درس أونلاين</t>
        </is>
      </c>
      <c r="C23" s="50" t="inlineStr">
        <is>
          <t>جزئي</t>
        </is>
      </c>
      <c r="D23" s="28" t="inlineStr">
        <is>
          <t>قيد التنفيذ</t>
        </is>
      </c>
      <c r="E23" s="49" t="inlineStr">
        <is>
          <t>مدعوم بالكامل</t>
        </is>
      </c>
      <c r="F23" s="28" t="inlineStr">
        <is>
          <t>Student/GetLesson / Schedule</t>
        </is>
      </c>
      <c r="G23" s="28" t="inlineStr">
        <is>
          <t>Backend جاهز؛ المطلوب Frontend + ربط endpoint + UAT.</t>
        </is>
      </c>
      <c r="H23" s="28" t="inlineStr">
        <is>
          <t>WP-S5</t>
        </is>
      </c>
    </row>
    <row r="24" ht="42" customHeight="1" s="26">
      <c r="A24" s="28" t="inlineStr">
        <is>
          <t>FR-S08</t>
        </is>
      </c>
      <c r="B24" s="28" t="inlineStr">
        <is>
          <t>تفاصيل الكورس والدروس</t>
        </is>
      </c>
      <c r="C24" s="50" t="inlineStr">
        <is>
          <t>جزئي</t>
        </is>
      </c>
      <c r="D24" s="28" t="inlineStr">
        <is>
          <t>قيد التنفيذ</t>
        </is>
      </c>
      <c r="E24" s="49" t="inlineStr">
        <is>
          <t>مدعوم بالكامل</t>
        </is>
      </c>
      <c r="F24" s="28" t="inlineStr">
        <is>
          <t>Student/GetCourse</t>
        </is>
      </c>
      <c r="G24" s="28" t="inlineStr">
        <is>
          <t>Backend جاهز؛ المطلوب Frontend + ربط endpoint + UAT.</t>
        </is>
      </c>
      <c r="H24" s="28" t="inlineStr">
        <is>
          <t>WP-S6</t>
        </is>
      </c>
    </row>
    <row r="25" ht="42" customHeight="1" s="26">
      <c r="A25" s="28" t="inlineStr">
        <is>
          <t>FR-S09</t>
        </is>
      </c>
      <c r="B25" s="28" t="inlineStr">
        <is>
          <t>سجل حضور الطالب</t>
        </is>
      </c>
      <c r="C25" s="28" t="inlineStr">
        <is>
          <t>غير جاهز</t>
        </is>
      </c>
      <c r="D25" s="28" t="inlineStr">
        <is>
          <t>قيد التنفيذ</t>
        </is>
      </c>
      <c r="E25" s="49" t="inlineStr">
        <is>
          <t>مدعوم بالكامل</t>
        </is>
      </c>
      <c r="F25" s="28" t="inlineStr">
        <is>
          <t>Student/Attendance</t>
        </is>
      </c>
      <c r="G25" s="28" t="inlineStr">
        <is>
          <t>Backend جاهز؛ المطلوب Frontend + ربط endpoint + UAT.</t>
        </is>
      </c>
      <c r="H25" s="28" t="inlineStr">
        <is>
          <t>WP-S7</t>
        </is>
      </c>
    </row>
    <row r="26" ht="42" customHeight="1" s="26">
      <c r="A26" s="28" t="inlineStr">
        <is>
          <t>FR-S10</t>
        </is>
      </c>
      <c r="B26" s="28" t="inlineStr">
        <is>
          <t>نتائج الامتحانات (طالب)</t>
        </is>
      </c>
      <c r="C26" s="28" t="inlineStr">
        <is>
          <t>غير جاهز</t>
        </is>
      </c>
      <c r="D26" s="28" t="inlineStr">
        <is>
          <t>قيد التنفيذ</t>
        </is>
      </c>
      <c r="E26" s="49" t="inlineStr">
        <is>
          <t>مدعوم بالكامل</t>
        </is>
      </c>
      <c r="F26" s="28" t="inlineStr">
        <is>
          <t>Student/ExamResults</t>
        </is>
      </c>
      <c r="G26" s="28" t="inlineStr">
        <is>
          <t>Backend جاهز؛ المطلوب Frontend + ربط endpoint + UAT.</t>
        </is>
      </c>
      <c r="H26" s="28" t="inlineStr">
        <is>
          <t>WP-S8</t>
        </is>
      </c>
    </row>
    <row r="27" ht="42" customHeight="1" s="26">
      <c r="A27" s="28" t="inlineStr">
        <is>
          <t>FR-S11</t>
        </is>
      </c>
      <c r="B27" s="28" t="inlineStr">
        <is>
          <t>التقدم الأكاديمي</t>
        </is>
      </c>
      <c r="C27" s="28" t="inlineStr">
        <is>
          <t>غير جاهز</t>
        </is>
      </c>
      <c r="D27" s="28" t="inlineStr">
        <is>
          <t>قيد التنفيذ</t>
        </is>
      </c>
      <c r="E27" s="49" t="inlineStr">
        <is>
          <t>مدعوم بالكامل</t>
        </is>
      </c>
      <c r="F27" s="28" t="inlineStr">
        <is>
          <t>Student/Progress</t>
        </is>
      </c>
      <c r="G27" s="28" t="inlineStr">
        <is>
          <t>Backend جاهز؛ المطلوب Frontend + ربط endpoint + UAT.</t>
        </is>
      </c>
      <c r="H27" s="28" t="inlineStr">
        <is>
          <t>WP-S9</t>
        </is>
      </c>
    </row>
    <row r="28" ht="42" customHeight="1" s="26">
      <c r="A28" s="28" t="inlineStr">
        <is>
          <t>FR-S12</t>
        </is>
      </c>
      <c r="B28" s="28" t="inlineStr">
        <is>
          <t>إشعارات الطالب</t>
        </is>
      </c>
      <c r="C28" s="28" t="inlineStr">
        <is>
          <t>جاهز</t>
        </is>
      </c>
      <c r="D28" s="28" t="inlineStr">
        <is>
          <t>جاهز (أصلي)</t>
        </is>
      </c>
      <c r="E28" s="49" t="inlineStr">
        <is>
          <t>مدعوم بالكامل</t>
        </is>
      </c>
      <c r="F28" s="28" t="inlineStr">
        <is>
          <t>Student/Notifications + MarkNotificationRead</t>
        </is>
      </c>
      <c r="G28" s="28" t="inlineStr">
        <is>
          <t>تحقق إضافي.</t>
        </is>
      </c>
      <c r="H28" s="28" t="inlineStr">
        <is>
          <t>—</t>
        </is>
      </c>
    </row>
    <row r="29" ht="42" customHeight="1" s="26">
      <c r="A29" s="28" t="inlineStr">
        <is>
          <t>FR-S13</t>
        </is>
      </c>
      <c r="B29" s="28" t="inlineStr">
        <is>
          <t>معلومات محفظة الطالب</t>
        </is>
      </c>
      <c r="C29" s="28" t="inlineStr">
        <is>
          <t>جاهز</t>
        </is>
      </c>
      <c r="D29" s="28" t="inlineStr">
        <is>
          <t>جاهز (أصلي)</t>
        </is>
      </c>
      <c r="E29" s="49" t="inlineStr">
        <is>
          <t>مدعوم بالكامل</t>
        </is>
      </c>
      <c r="F29" s="28" t="inlineStr">
        <is>
          <t>Student/BookingPayment + Wallet/*</t>
        </is>
      </c>
      <c r="G29" s="28" t="inlineStr">
        <is>
          <t>تحقق إضافي.</t>
        </is>
      </c>
      <c r="H29" s="28" t="inlineStr">
        <is>
          <t>—</t>
        </is>
      </c>
    </row>
    <row r="30" ht="42" customHeight="1" s="26">
      <c r="A30" s="28" t="inlineStr">
        <is>
          <t>FR-S14</t>
        </is>
      </c>
      <c r="B30" s="28" t="inlineStr">
        <is>
          <t>إلغاء حجز الطالب</t>
        </is>
      </c>
      <c r="C30" s="28" t="inlineStr">
        <is>
          <t>غير جاهز</t>
        </is>
      </c>
      <c r="D30" s="28" t="inlineStr">
        <is>
          <t>قيد التنفيذ</t>
        </is>
      </c>
      <c r="E30" s="49" t="inlineStr">
        <is>
          <t>مدعوم بالكامل</t>
        </is>
      </c>
      <c r="F30" s="28" t="inlineStr">
        <is>
          <t>Student/CancelBooking</t>
        </is>
      </c>
      <c r="G30" s="28" t="inlineStr">
        <is>
          <t>Backend جاهز؛ المطلوب Frontend + ربط endpoint + UAT.</t>
        </is>
      </c>
      <c r="H30" s="28" t="inlineStr">
        <is>
          <t>WP-S2</t>
        </is>
      </c>
    </row>
    <row r="31" ht="42" customHeight="1" s="26">
      <c r="A31" s="28" t="inlineStr">
        <is>
          <t>FR-S15</t>
        </is>
      </c>
      <c r="B31" s="28" t="inlineStr">
        <is>
          <t>طلب إعادة جدولة</t>
        </is>
      </c>
      <c r="C31" s="28" t="inlineStr">
        <is>
          <t>غير جاهز</t>
        </is>
      </c>
      <c r="D31" s="28" t="inlineStr">
        <is>
          <t>قيد التنفيذ</t>
        </is>
      </c>
      <c r="E31" s="49" t="inlineStr">
        <is>
          <t>مدعوم بالكامل</t>
        </is>
      </c>
      <c r="F31" s="28" t="inlineStr">
        <is>
          <t>Student/RequestReschedule + MyRescheduleRequests</t>
        </is>
      </c>
      <c r="G31" s="28" t="inlineStr">
        <is>
          <t>Backend جاهز؛ المطلوب Frontend + ربط endpoint + UAT.</t>
        </is>
      </c>
      <c r="H31" s="28" t="inlineStr">
        <is>
          <t>WP-S3, WP-T5</t>
        </is>
      </c>
    </row>
    <row r="32" ht="42" customHeight="1" s="26">
      <c r="A32" s="28" t="inlineStr">
        <is>
          <t>FR-I01</t>
        </is>
      </c>
      <c r="B32" s="28" t="inlineStr">
        <is>
          <t>إنشاء كورس حضوري</t>
        </is>
      </c>
      <c r="C32" s="28" t="inlineStr">
        <is>
          <t>غير مغطى بالتقرير</t>
        </is>
      </c>
      <c r="D32" s="28" t="inlineStr">
        <is>
          <t>قيد التنفيذ</t>
        </is>
      </c>
      <c r="E32" s="49" t="inlineStr">
        <is>
          <t>مدعوم بالكامل</t>
        </is>
      </c>
      <c r="F32" s="28" t="inlineStr">
        <is>
          <t>Course/CreateEdit</t>
        </is>
      </c>
      <c r="G32" s="28" t="inlineStr">
        <is>
          <t>Backend جاهز؛ المطلوب Frontend + ربط endpoint + UAT.</t>
        </is>
      </c>
      <c r="H32" s="28" t="inlineStr">
        <is>
          <t>WP-T1</t>
        </is>
      </c>
    </row>
    <row r="33" ht="42" customHeight="1" s="26">
      <c r="A33" s="28" t="inlineStr">
        <is>
          <t>FR-I05</t>
        </is>
      </c>
      <c r="B33" s="28" t="inlineStr">
        <is>
          <t>إنشاء كورس أونلاين</t>
        </is>
      </c>
      <c r="C33" s="28" t="inlineStr">
        <is>
          <t>غير مغطى بالتقرير</t>
        </is>
      </c>
      <c r="D33" s="28" t="inlineStr">
        <is>
          <t>لم يبدأ</t>
        </is>
      </c>
      <c r="E33" s="49" t="inlineStr">
        <is>
          <t>مدعوم بالكامل</t>
        </is>
      </c>
      <c r="F33" s="28" t="inlineStr">
        <is>
          <t>Course/CreateEdit</t>
        </is>
      </c>
      <c r="G33" s="28" t="inlineStr">
        <is>
          <t>Backend جاهز؛ المطلوب Frontend + ربط endpoint + UAT.</t>
        </is>
      </c>
      <c r="H33" s="28" t="inlineStr">
        <is>
          <t>WP-T1</t>
        </is>
      </c>
    </row>
    <row r="34" ht="42" customHeight="1" s="26">
      <c r="A34" s="28" t="inlineStr">
        <is>
          <t>FR-I07</t>
        </is>
      </c>
      <c r="B34" s="28" t="inlineStr">
        <is>
          <t>ضبط منصة الاجتماع</t>
        </is>
      </c>
      <c r="C34" s="28" t="inlineStr">
        <is>
          <t>غير مغطى بالتقرير</t>
        </is>
      </c>
      <c r="D34" s="28" t="inlineStr">
        <is>
          <t>لم يبدأ</t>
        </is>
      </c>
      <c r="E34" s="49" t="inlineStr">
        <is>
          <t>مدعوم بالكامل</t>
        </is>
      </c>
      <c r="F34" s="28" t="inlineStr">
        <is>
          <t>Lesson/Create + ConfigureMeeting</t>
        </is>
      </c>
      <c r="G34" s="28" t="inlineStr">
        <is>
          <t>Backend جاهز؛ المطلوب Frontend + ربط endpoint + UAT.</t>
        </is>
      </c>
      <c r="H34" s="28" t="inlineStr">
        <is>
          <t>WP-T4</t>
        </is>
      </c>
    </row>
    <row r="35" ht="42" customHeight="1" s="26">
      <c r="A35" s="28" t="inlineStr">
        <is>
          <t>FR-I09</t>
        </is>
      </c>
      <c r="B35" s="28" t="inlineStr">
        <is>
          <t>عرض جدول الكورس (معلم)</t>
        </is>
      </c>
      <c r="C35" s="28" t="inlineStr">
        <is>
          <t>غير مغطى بالتقرير</t>
        </is>
      </c>
      <c r="D35" s="28" t="inlineStr">
        <is>
          <t>لم يبدأ</t>
        </is>
      </c>
      <c r="E35" s="49" t="inlineStr">
        <is>
          <t>مدعوم بالكامل</t>
        </is>
      </c>
      <c r="F35" s="28" t="inlineStr">
        <is>
          <t>Lesson/GetSchedule</t>
        </is>
      </c>
      <c r="G35" s="28" t="inlineStr">
        <is>
          <t>Backend جاهز؛ المطلوب Frontend + ربط endpoint + UAT.</t>
        </is>
      </c>
      <c r="H35" s="28" t="inlineStr">
        <is>
          <t>WP-T4</t>
        </is>
      </c>
    </row>
    <row r="36" ht="42" customHeight="1" s="26">
      <c r="A36" s="28" t="inlineStr">
        <is>
          <t>FR-I10</t>
        </is>
      </c>
      <c r="B36" s="28" t="inlineStr">
        <is>
          <t>تعديل درس مجدول</t>
        </is>
      </c>
      <c r="C36" s="28" t="inlineStr">
        <is>
          <t>غير مغطى بالتقرير</t>
        </is>
      </c>
      <c r="D36" s="28" t="inlineStr">
        <is>
          <t>قيد التنفيذ</t>
        </is>
      </c>
      <c r="E36" s="49" t="inlineStr">
        <is>
          <t>مدعوم بالكامل</t>
        </is>
      </c>
      <c r="F36" s="28" t="inlineStr">
        <is>
          <t>Lesson/Update</t>
        </is>
      </c>
      <c r="G36" s="28" t="inlineStr">
        <is>
          <t>Backend جاهز؛ المطلوب Frontend + ربط endpoint + UAT.</t>
        </is>
      </c>
      <c r="H36" s="28" t="inlineStr">
        <is>
          <t>WP-T4</t>
        </is>
      </c>
    </row>
    <row r="37" ht="42" customHeight="1" s="26">
      <c r="A37" s="28" t="inlineStr">
        <is>
          <t>FR-I11</t>
        </is>
      </c>
      <c r="B37" s="28" t="inlineStr">
        <is>
          <t>إلغاء درس مجدول</t>
        </is>
      </c>
      <c r="C37" s="28" t="inlineStr">
        <is>
          <t>غير مغطى بالتقرير</t>
        </is>
      </c>
      <c r="D37" s="28" t="inlineStr">
        <is>
          <t>قيد التنفيذ</t>
        </is>
      </c>
      <c r="E37" s="49" t="inlineStr">
        <is>
          <t>مدعوم بالكامل</t>
        </is>
      </c>
      <c r="F37" s="28" t="inlineStr">
        <is>
          <t>Lesson/Cancel</t>
        </is>
      </c>
      <c r="G37" s="28" t="inlineStr">
        <is>
          <t>Backend جاهز؛ المطلوب Frontend + ربط endpoint + UAT.</t>
        </is>
      </c>
      <c r="H37" s="28" t="inlineStr">
        <is>
          <t>WP-T4</t>
        </is>
      </c>
    </row>
    <row r="38" ht="42" customHeight="1" s="26">
      <c r="A38" s="28" t="inlineStr">
        <is>
          <t>FR-T10</t>
        </is>
      </c>
      <c r="B38" s="28" t="inlineStr">
        <is>
          <t>إدارة طلبات الحجز (معلم)</t>
        </is>
      </c>
      <c r="C38" s="28" t="inlineStr">
        <is>
          <t>غير مغطى بالتقرير</t>
        </is>
      </c>
      <c r="D38" s="28" t="inlineStr">
        <is>
          <t>قيد التنفيذ</t>
        </is>
      </c>
      <c r="E38" s="49" t="inlineStr">
        <is>
          <t>مدعوم بالكامل</t>
        </is>
      </c>
      <c r="F38" s="28" t="inlineStr">
        <is>
          <t>Booking/TeacherBookings + Decide</t>
        </is>
      </c>
      <c r="G38" s="28" t="inlineStr">
        <is>
          <t>Backend جاهز؛ المطلوب Frontend + ربط endpoint + UAT.</t>
        </is>
      </c>
      <c r="H38" s="28" t="inlineStr">
        <is>
          <t>WP-T5</t>
        </is>
      </c>
    </row>
  </sheetData>
  <autoFilter ref="A1:H3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00" customWidth="1" style="26" min="1" max="1"/>
    <col width="18" customWidth="1" style="26" min="2" max="2"/>
  </cols>
  <sheetData>
    <row r="1" ht="42" customHeight="1" s="26">
      <c r="A1" s="48" t="inlineStr">
        <is>
          <t>مسار الملف</t>
        </is>
      </c>
      <c r="B1" s="48" t="inlineStr">
        <is>
          <t>الحجم بالبايت</t>
        </is>
      </c>
    </row>
    <row r="2" ht="42" customHeight="1" s="26">
      <c r="A2" s="28" t="inlineStr">
        <is>
          <t>Acadimia-main/Acadimia.Api/Controllers/AuthController.cs</t>
        </is>
      </c>
      <c r="B2" s="28" t="n">
        <v>5585</v>
      </c>
    </row>
    <row r="3" ht="42" customHeight="1" s="26">
      <c r="A3" s="28" t="inlineStr">
        <is>
          <t>Acadimia-main/Acadimia.Api/Controllers/BaseController.cs</t>
        </is>
      </c>
      <c r="B3" s="28" t="n">
        <v>508</v>
      </c>
    </row>
    <row r="4" ht="42" customHeight="1" s="26">
      <c r="A4" s="28" t="inlineStr">
        <is>
          <t>Acadimia-main/Acadimia.Api/Controllers/BookingController.cs</t>
        </is>
      </c>
      <c r="B4" s="28" t="n">
        <v>3614</v>
      </c>
    </row>
    <row r="5" ht="42" customHeight="1" s="26">
      <c r="A5" s="28" t="inlineStr">
        <is>
          <t>Acadimia-main/Acadimia.Api/Controllers/ConstantController.cs</t>
        </is>
      </c>
      <c r="B5" s="28" t="n">
        <v>2579</v>
      </c>
    </row>
    <row r="6" ht="42" customHeight="1" s="26">
      <c r="A6" s="28" t="inlineStr">
        <is>
          <t>Acadimia-main/Acadimia.Api/Controllers/CourseController.cs</t>
        </is>
      </c>
      <c r="B6" s="28" t="n">
        <v>5785</v>
      </c>
    </row>
    <row r="7" ht="42" customHeight="1" s="26">
      <c r="A7" s="28" t="inlineStr">
        <is>
          <t>Acadimia-main/Acadimia.Api/Controllers/HomeController.cs</t>
        </is>
      </c>
      <c r="B7" s="28" t="n">
        <v>281</v>
      </c>
    </row>
    <row r="8" ht="42" customHeight="1" s="26">
      <c r="A8" s="28" t="inlineStr">
        <is>
          <t>Acadimia-main/Acadimia.Api/Controllers/JoinRequestController.cs</t>
        </is>
      </c>
      <c r="B8" s="28" t="n">
        <v>1392</v>
      </c>
    </row>
    <row r="9" ht="42" customHeight="1" s="26">
      <c r="A9" s="28" t="inlineStr">
        <is>
          <t>Acadimia-main/Acadimia.Api/Controllers/LessonController.cs</t>
        </is>
      </c>
      <c r="B9" s="28" t="n">
        <v>3180</v>
      </c>
    </row>
    <row r="10" ht="42" customHeight="1" s="26">
      <c r="A10" s="28" t="inlineStr">
        <is>
          <t>Acadimia-main/Acadimia.Api/Controllers/PageController.cs</t>
        </is>
      </c>
      <c r="B10" s="28" t="n">
        <v>2637</v>
      </c>
    </row>
    <row r="11" ht="42" customHeight="1" s="26">
      <c r="A11" s="28" t="inlineStr">
        <is>
          <t>Acadimia-main/Acadimia.Api/Controllers/ParentController .cs</t>
        </is>
      </c>
      <c r="B11" s="28" t="n">
        <v>1120</v>
      </c>
    </row>
    <row r="12" ht="42" customHeight="1" s="26">
      <c r="A12" s="28" t="inlineStr">
        <is>
          <t>Acadimia-main/Acadimia.Api/Controllers/PlatformCommissionController.cs</t>
        </is>
      </c>
      <c r="B12" s="28" t="n">
        <v>1813</v>
      </c>
    </row>
    <row r="13" ht="42" customHeight="1" s="26">
      <c r="A13" s="28" t="inlineStr">
        <is>
          <t>Acadimia-main/Acadimia.Api/Controllers/StudentController.cs</t>
        </is>
      </c>
      <c r="B13" s="28" t="n">
        <v>5060</v>
      </c>
    </row>
    <row r="14" ht="42" customHeight="1" s="26">
      <c r="A14" s="28" t="inlineStr">
        <is>
          <t>Acadimia-main/Acadimia.Api/Controllers/TeacherController.cs</t>
        </is>
      </c>
      <c r="B14" s="28" t="n">
        <v>3510</v>
      </c>
    </row>
    <row r="15" ht="42" customHeight="1" s="26">
      <c r="A15" s="28" t="inlineStr">
        <is>
          <t>Acadimia-main/Acadimia.Api/Controllers/UserController.cs</t>
        </is>
      </c>
      <c r="B15" s="28" t="n">
        <v>7488</v>
      </c>
    </row>
    <row r="16" ht="42" customHeight="1" s="26">
      <c r="A16" s="28" t="inlineStr">
        <is>
          <t>Acadimia-main/Acadimia.Api/Controllers/UserPermissionController.cs</t>
        </is>
      </c>
      <c r="B16" s="28" t="n">
        <v>1199</v>
      </c>
    </row>
    <row r="17" ht="42" customHeight="1" s="26">
      <c r="A17" s="28" t="inlineStr">
        <is>
          <t>Acadimia-main/Acadimia.Api/Controllers/WalletController.cs</t>
        </is>
      </c>
      <c r="B17" s="28" t="n">
        <v>5270</v>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2026-10-03T08:00:07Z</dcterms:created>
  <dcterms:modified xmlns:dcterms="http://purl.org/dc/terms/" xmlns:xsi="http://www.w3.org/2001/XMLSchema-instance" xsi:type="dcterms:W3CDTF">2026-10-04T12:08:06Z</dcterms:modified>
  <cp:revision>0</cp:revision>
</cp:coreProperties>
</file>