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BackendChecklist" sheetId="3" state="visible" r:id="rId5"/>
    <sheet name="Availability" sheetId="4" state="visible" r:id="rId6"/>
    <sheet name="ParallelPlan" sheetId="5" state="visible" r:id="rId7"/>
    <sheet name="WorkPackages" sheetId="6" state="visible" r:id="rId8"/>
    <sheet name="Tasks" sheetId="7" state="visible" r:id="rId9"/>
    <sheet name="FR_Matrix" sheetId="8" state="visible" r:id="rId10"/>
    <sheet name="UAT" sheetId="9" state="visible" r:id="rId11"/>
    <sheet name="FileOwnership" sheetId="10" state="visible" r:id="rId12"/>
    <sheet name="Contracts" sheetId="11" state="visible" r:id="rId13"/>
    <sheet name="API_Map" sheetId="12" state="visible" r:id="rId14"/>
    <sheet name="Discrepancies" sheetId="13" state="visible" r:id="rId15"/>
    <sheet name="OpenQuestions" sheetId="14" state="visible" r:id="rId16"/>
    <sheet name="Assumptions_Risks" sheetId="15" state="visible" r:id="rId17"/>
    <sheet name="ChangeRequests" sheetId="16" state="visible" r:id="rId18"/>
    <sheet name="SessionLog" sheetId="17" state="visible" r:id="rId19"/>
    <sheet name="Conventions" sheetId="18" state="visible" r:id="rId20"/>
    <sheet name="Lists" sheetId="19" state="visible" r:id="rId21"/>
  </sheets>
  <definedNames>
    <definedName function="false" hidden="true" localSheetId="11" name="_xlnm._FilterDatabase" vbProcedure="false">API_Map!$A$4:$M$57</definedName>
    <definedName function="false" hidden="true" localSheetId="9" name="_xlnm._FilterDatabase" vbProcedure="false">FileOwnership!$A$4:$H$114</definedName>
    <definedName function="false" hidden="true" localSheetId="7" name="_xlnm._FilterDatabase" vbProcedure="false">FR_Matrix!$A$4:$R$41</definedName>
    <definedName function="false" hidden="true" localSheetId="6" name="_xlnm._FilterDatabase" vbProcedure="false">Tasks!$A$4:$X$133</definedName>
    <definedName function="false" hidden="true" localSheetId="8" name="_xlnm._FilterDatabase" vbProcedure="false">UAT!$A$4:$K$68</definedName>
    <definedName function="false" hidden="true" localSheetId="5" name="_xlnm._FilterDatabase" vbProcedure="false">WorkPackages!$A$4:$S$24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<sst xmlns="http://schemas.openxmlformats.org/spreadsheetml/2006/main" count="6347" uniqueCount="2499">
  <si>
    <t xml:space="preserve">ملف تتبّع إكمال الفرونت — Academia</t>
  </si>
  <si>
    <t xml:space="preserve">الإصدار</t>
  </si>
  <si>
    <t xml:space="preserve">v2.0</t>
  </si>
  <si>
    <t xml:space="preserve">آخر تحديث</t>
  </si>
  <si>
    <t xml:space="preserve">2026-10-09</t>
  </si>
  <si>
    <t xml:space="preserve">الكاتب الوحيد للملف</t>
  </si>
  <si>
    <t xml:space="preserve">المنسّق (جلسة التتبع). الجلسات المتوازية لا تعدّل هذا الملف — ترسل تقريرًا بالصيغة أدناه.</t>
  </si>
  <si>
    <t xml:space="preserve">الهدف</t>
  </si>
  <si>
    <t xml:space="preserve">إكمال الـ19 متطلبًا (13 غير جاهز + 6 جزئي) من تقرير جاهزية الفرونت بالاعتماد على Swagger الحالي وSRS، مع 7 FRs داعمة لازمة لاكتمال المسارات، بدون تعارض بين عدة جلسات تعمل بالتوازي. هذا الملف خطة وتتبّع فقط — لم تُكتب أي أسطر كود بعد.</t>
  </si>
  <si>
    <t xml:space="preserve">المصادر المعتمدة</t>
  </si>
  <si>
    <t xml:space="preserve">Swagger_UI.pdf (تاريخ 2026-09-22) · SRS_1__updated_.docx · Frontend_Readiness_Audit_Report.pdf · Frontend.zip (الكود). ملفات md/docs القديمة بالمشروع غير معتمدة.</t>
  </si>
  <si>
    <t xml:space="preserve">خريطة الأوراق</t>
  </si>
  <si>
    <t xml:space="preserve">Dashboard: ملخص محسوب · BackendChecklist: كل ما نحتاجه من الباك اند + هل وصل · Availability: حجم كل WP + ما يمكن بدؤه الآن + JSON · ParallelPlan: التوازي والدمج · WorkPackages: 20 حزمة (WP-00 + WP-J + 17 + QA) · Tasks: المصدر الوحيد للحالة · FR_Matrix: تتبّع كل FR · UAT: معايير القبول · FileOwnership: مالك كل ملف + كشف التعارض · Contracts: واجهات المكونات + مفاتيح الكاش · API_Map: كل endpoint ↔ الكود · Discrepancies: فروقات Swagger/الكود · OpenQuestions: أسئلة وافتراضات افتراضية · Assumptions_Risks · ChangeRequests · SessionLog · Conventions · Lists</t>
  </si>
  <si>
    <t xml:space="preserve">ألوان الخلايا</t>
  </si>
  <si>
    <t xml:space="preserve">أصفر فاتح = إدخال يدوي · أزرق فاتح = صيغة (لا تعدّلها) · أبيض = خطة ثابتة (لا تغيّر إلا بقرار المنسّق)</t>
  </si>
  <si>
    <t xml:space="preserve">حالات المهام</t>
  </si>
  <si>
    <t xml:space="preserve">لم يبدأ · قيد التنفيذ · قيد المراجعة · متوقف · مكتمل · مؤجل. «مكتمل» لا تُعتمد إلا بعد تشغيل npm run validate محليًا (البيئة هنا بلا شبكة).</t>
  </si>
  <si>
    <t xml:space="preserve">بروتوكول التحديث</t>
  </si>
  <si>
    <t xml:space="preserve">1) الجلسة تنفّذ WP واحدًا فقط. 2) تنتهي بتقرير نهاية الجلسة (أدناه). 3) المنسّق يلصق التقارير ويطلب «حدّث التتبع» ← يُحدَّث الملف دفعة واحدة، تُرفع النسخة، ويُضاف صف بـ SessionLog.</t>
  </si>
  <si>
    <t xml:space="preserve">قالب بداية جلسة</t>
  </si>
  <si>
    <t xml:space="preserve">قالب بداية جلسة:
«نفّذ WP-xx فقط من ملف التتبع (النسخة vN). اقرأ: WorkPackages + Tasks (مهام WP-xx) + FileOwnership + Contracts + Conventions. لا تعدّل أي ملف ليس مملوكًا لـ WP-xx. المصادر المعتمدة: Swagger + SRS + تقرير الجاهزية. لا تعتمد على ملفات docs القديمة. عند الانتهاء أعطني تقرير الجلسة بصيغة SessionLog.»</t>
  </si>
  <si>
    <t xml:space="preserve">قالب نهاية جلسة</t>
  </si>
  <si>
    <t xml:space="preserve">قالب تقرير نهاية جلسة (يُنسخ كما هو):
WP: ... | الجلسة: ... | التاريخ: ...
المهام: [ID: الحالة] ... (مكتمل/قيد التنفيذ/متوقف + سبب)
الملفات المعدّلة: ...
نتيجة npm run validate: ...
افتراضات جديدة / أسئلة مفتوحة: ...
طلبات تغيير (CR): ...
الخطوة التالية: ...</t>
  </si>
  <si>
    <t xml:space="preserve">قبل أي كود</t>
  </si>
  <si>
    <t xml:space="preserve">WP-00 أولًا. وقبله: الإجابة على الأسئلة الحاجبة (OpenQuestions) ولصق عينات JSON (API_Map: عمود «عينة مطلوبة»).</t>
  </si>
  <si>
    <t xml:space="preserve">لوحة المتابعة (Dashboard)</t>
  </si>
  <si>
    <t xml:space="preserve">كل الأرقام محسوبة تلقائيًا من الأوراق الأخرى. لا تحرّرها يدويًا.</t>
  </si>
  <si>
    <t xml:space="preserve">نسخة التتبع</t>
  </si>
  <si>
    <t xml:space="preserve">1) تقدّم المهام</t>
  </si>
  <si>
    <t xml:space="preserve">إجمالي المهام</t>
  </si>
  <si>
    <t xml:space="preserve">مكتمل</t>
  </si>
  <si>
    <t xml:space="preserve">قيد التنفيذ</t>
  </si>
  <si>
    <t xml:space="preserve">قيد المراجعة</t>
  </si>
  <si>
    <t xml:space="preserve">متوقف</t>
  </si>
  <si>
    <t xml:space="preserve">لم يبدأ</t>
  </si>
  <si>
    <t xml:space="preserve">مؤجل</t>
  </si>
  <si>
    <t xml:space="preserve">نسبة الإنجاز الكلية</t>
  </si>
  <si>
    <t xml:space="preserve">إنجاز Wave 0</t>
  </si>
  <si>
    <t xml:space="preserve">إنجاز Wave 1</t>
  </si>
  <si>
    <t xml:space="preserve">إنجاز Wave 2</t>
  </si>
  <si>
    <t xml:space="preserve">2) جاهزية الفرونت مقابل الـ30 FR في التقرير</t>
  </si>
  <si>
    <t xml:space="preserve">إجمالي FRs ضمن التقرير</t>
  </si>
  <si>
    <t xml:space="preserve">الأساس: جاهز بالتقرير</t>
  </si>
  <si>
    <t xml:space="preserve">الأساس: جزئي</t>
  </si>
  <si>
    <t xml:space="preserve">الأساس: غير جاهز</t>
  </si>
  <si>
    <t xml:space="preserve">نسبة الجاهزية الأساسية</t>
  </si>
  <si>
    <t xml:space="preserve">الآن: جاهز (أصلي + أُنجز وتم قبوله)</t>
  </si>
  <si>
    <t xml:space="preserve">الآن: مكتمل – بانتظار UAT</t>
  </si>
  <si>
    <t xml:space="preserve">الآن: قيد التنفيذ</t>
  </si>
  <si>
    <t xml:space="preserve">الآن: لم يبدأ</t>
  </si>
  <si>
    <t xml:space="preserve">نسبة الجاهزية الحالية</t>
  </si>
  <si>
    <t xml:space="preserve">3) اختبارات القبول (UAT)</t>
  </si>
  <si>
    <t xml:space="preserve">إجمالي بنود UAT</t>
  </si>
  <si>
    <t xml:space="preserve">نجح</t>
  </si>
  <si>
    <t xml:space="preserve">فشل</t>
  </si>
  <si>
    <t xml:space="preserve">لم يُختبر</t>
  </si>
  <si>
    <t xml:space="preserve">نسبة النجاح</t>
  </si>
  <si>
    <t xml:space="preserve">4) مخاطر التوازي والعوائق</t>
  </si>
  <si>
    <t xml:space="preserve">أسئلة حاجبة مفتوحة</t>
  </si>
  <si>
    <t xml:space="preserve">كل الأسئلة المفتوحة</t>
  </si>
  <si>
    <t xml:space="preserve">فروقات Swagger مفتوحة</t>
  </si>
  <si>
    <t xml:space="preserve">مهام متوقفة</t>
  </si>
  <si>
    <t xml:space="preserve">طلبات تغيير (CR) مفتوحة</t>
  </si>
  <si>
    <t xml:space="preserve">ملفات بمالكين مكرّرين (يجب 0)</t>
  </si>
  <si>
    <t xml:space="preserve">عينات JSON مطلوبة ولم تصل</t>
  </si>
  <si>
    <t xml:space="preserve">عناصر الباك اند الجاهزة (من BackendChecklist)</t>
  </si>
  <si>
    <t xml:space="preserve">5) حالة كل WP</t>
  </si>
  <si>
    <t xml:space="preserve">WP</t>
  </si>
  <si>
    <t xml:space="preserve">الاسم</t>
  </si>
  <si>
    <t xml:space="preserve">Wave</t>
  </si>
  <si>
    <t xml:space="preserve">% الإنجاز</t>
  </si>
  <si>
    <t xml:space="preserve">الحالة</t>
  </si>
  <si>
    <t xml:space="preserve">المسؤول</t>
  </si>
  <si>
    <t xml:space="preserve">المطلوب من فريق الباك اند (عينات JSON + قرارات) — هل أصبح جاهزًا؟</t>
  </si>
  <si>
    <t xml:space="preserve">غيّر عمود «جاهز؟» إلى نعم/جزئي/لا عند الاستلام. عمود «مهام تنتظر» يحسب كم مهمة ما زالت معلّقة عليه. تُحسب «حالة الاعتماد» لكل مهمة بورقة Tasks تلقائيًا.</t>
  </si>
  <si>
    <t xml:space="preserve">NE</t>
  </si>
  <si>
    <t xml:space="preserve">الوصف</t>
  </si>
  <si>
    <t xml:space="preserve">النوع</t>
  </si>
  <si>
    <t xml:space="preserve">Endpoint(s)</t>
  </si>
  <si>
    <t xml:space="preserve">أسئلة مرتبطة (OpenQuestions)</t>
  </si>
  <si>
    <t xml:space="preserve">المطلوب بالضبط</t>
  </si>
  <si>
    <t xml:space="preserve">تفتح المهام</t>
  </si>
  <si>
    <t xml:space="preserve">جاهز؟</t>
  </si>
  <si>
    <t xml:space="preserve">تاريخ الاستلام</t>
  </si>
  <si>
    <t xml:space="preserve">مهام تنتظر الآن</t>
  </si>
  <si>
    <t xml:space="preserve">ملاحظات</t>
  </si>
  <si>
    <t xml:space="preserve">NE-01</t>
  </si>
  <si>
    <t xml:space="preserve">طلبات الحجز وإعادة الجدولة (جهة المعلم)</t>
  </si>
  <si>
    <t xml:space="preserve">عينة JSON</t>
  </si>
  <si>
    <t xml:space="preserve">GET Booking/TeacherBookings?status= · GET Booking/TeacherRescheduleRequests?status=</t>
  </si>
  <si>
    <t xml:space="preserve">Q-14, Q-22</t>
  </si>
  <si>
    <t xml:space="preserve">رد حقيقي لكل endpoint (حجز واحد على الأقل بكل حالة موجودة)، وأسماء حالات إعادة الجدولة 1..4 — يجب أولًا إصلاح الـ500 (Q-22): الطلب يرجّع 500 حاليًا</t>
  </si>
  <si>
    <t xml:space="preserve">T5-01، T5-02، T5-03، T5-04، T5-06</t>
  </si>
  <si>
    <t xml:space="preserve">جزئي</t>
  </si>
  <si>
    <t xml:space="preserve">2026-10-04</t>
  </si>
  <si>
    <t xml:space="preserve">DTO من الكود؛ لكن 500 بالنشر الحي (Q-22) | 2026-10-09: النسخة الجديدة تستخدم BookingProjections.ToDto ويبدو أن 500 أُصلح؛ بانتظار تأكيد حي</t>
  </si>
  <si>
    <t xml:space="preserve">NE-02</t>
  </si>
  <si>
    <t xml:space="preserve">تفاصيل حجز الطالب</t>
  </si>
  <si>
    <t xml:space="preserve">عينة JSON + قرارات</t>
  </si>
  <si>
    <t xml:space="preserve">GET Student/GetBooking?id=</t>
  </si>
  <si>
    <t xml:space="preserve">Q-08, Q-09, Q-10</t>
  </si>
  <si>
    <t xml:space="preserve">رد حجز مؤكد وآخر مكتمل؛ هل فيه isRated/تقييم؟ وهل يرجع سياسة الإلغاء/المهلة؟ وقواعد أهلية إعادة الجدولة</t>
  </si>
  <si>
    <t xml:space="preserve">S2-01، S2-02، S2-05، S4-02، S4-03</t>
  </si>
  <si>
    <t xml:space="preserve">نعم</t>
  </si>
  <si>
    <t xml:space="preserve">DTO من الكود</t>
  </si>
  <si>
    <t xml:space="preserve">NE-03</t>
  </si>
  <si>
    <t xml:space="preserve">حالة دفع الحجز</t>
  </si>
  <si>
    <t xml:space="preserve">عينة JSON + قرار</t>
  </si>
  <si>
    <t xml:space="preserve">GET Student/BookingPayment?bookingId=</t>
  </si>
  <si>
    <t xml:space="preserve">Q-06</t>
  </si>
  <si>
    <t xml:space="preserve">رد لحجز مؤكد وآخر رصيده غير كافٍ؛ ومتى يُخصم المبلغ فعليًا</t>
  </si>
  <si>
    <t xml:space="preserve">W1-01، W1-05</t>
  </si>
  <si>
    <t xml:space="preserve">NE-04</t>
  </si>
  <si>
    <t xml:space="preserve">طلبات إعادة جدولة الطالب</t>
  </si>
  <si>
    <t xml:space="preserve">GET Student/MyRescheduleRequests</t>
  </si>
  <si>
    <t xml:space="preserve">—</t>
  </si>
  <si>
    <t xml:space="preserve">رد بطلب معلّق وآخر مرفوض/موافق عليه + أسماء الحالات</t>
  </si>
  <si>
    <t xml:space="preserve">S3-02</t>
  </si>
  <si>
    <t xml:space="preserve">NE-05</t>
  </si>
  <si>
    <t xml:space="preserve">تفاصيل الدرس (طالب)</t>
  </si>
  <si>
    <t xml:space="preserve">GET Student/GetLesson?id=</t>
  </si>
  <si>
    <t xml:space="preserve">درس حضوري (فيه القاعة) وآخر أونلاين (فيه المنصة والرابط وcanJoin)</t>
  </si>
  <si>
    <t xml:space="preserve">S5-01، S5-02، S5-03</t>
  </si>
  <si>
    <t xml:space="preserve">NE-06</t>
  </si>
  <si>
    <t xml:space="preserve">تفاصيل الكورس المسجَّل</t>
  </si>
  <si>
    <t xml:space="preserve">GET Student/GetCourse?id=</t>
  </si>
  <si>
    <t xml:space="preserve">كورس فيه مجموعة ودروس + كورس بلا دروس</t>
  </si>
  <si>
    <t xml:space="preserve">S6-01، S6-03، S6-04</t>
  </si>
  <si>
    <t xml:space="preserve">NE-07</t>
  </si>
  <si>
    <t xml:space="preserve">سجل حضور الطالب</t>
  </si>
  <si>
    <t xml:space="preserve">GET Student/Attendance?from&amp;to&amp;courseId</t>
  </si>
  <si>
    <t xml:space="preserve">رد بسجلات بالحالات الأربع وهل يرجع نسبة؟</t>
  </si>
  <si>
    <t xml:space="preserve">S7-01، S7-03، S7-04، S7-05</t>
  </si>
  <si>
    <t xml:space="preserve">NE-08</t>
  </si>
  <si>
    <t xml:space="preserve">نتائج امتحانات الطالب</t>
  </si>
  <si>
    <t xml:space="preserve">GET Student/ExamResults?courseId</t>
  </si>
  <si>
    <t xml:space="preserve">رد بعدة نتائج (العنوان/التاريخ/الدرجة/المجموع/الملاحظات)</t>
  </si>
  <si>
    <t xml:space="preserve">S8-01، S8-02، S8-03</t>
  </si>
  <si>
    <t xml:space="preserve">NE-09</t>
  </si>
  <si>
    <t xml:space="preserve">كورس المعلم + المجموعة</t>
  </si>
  <si>
    <t xml:space="preserve">GET Course/GetMineById?id=</t>
  </si>
  <si>
    <t xml:space="preserve">Q-02, Q-03</t>
  </si>
  <si>
    <t xml:space="preserve">شكل الرد (هل فيه groupId/المجموعات؟ هل لكورس أكثر من مجموعة؟)، وهل CreateEdit يأخذ teacherId من الجلسة؟</t>
  </si>
  <si>
    <t xml:space="preserve">T1-07، T2-01، T2-02، T2-04، T2-05، T2-06</t>
  </si>
  <si>
    <t xml:space="preserve">CourseListItemDto معروف لكن بلا groupId (Q-02b) | 2026-10-09: CourseListItemDto يحمل TeacherId لكن لا groups</t>
  </si>
  <si>
    <t xml:space="preserve">NE-10</t>
  </si>
  <si>
    <t xml:space="preserve">قائمة كورسات المعلم</t>
  </si>
  <si>
    <t xml:space="preserve">POST Course/GetAll (بحساب معلم)</t>
  </si>
  <si>
    <t xml:space="preserve">Q-01</t>
  </si>
  <si>
    <t xml:space="preserve">هل يرجع كورسات المعلم الحالي فقط أم الكل؟</t>
  </si>
  <si>
    <t xml:space="preserve">T1-01</t>
  </si>
  <si>
    <t xml:space="preserve">يفلتر حسب المعلم</t>
  </si>
  <si>
    <t xml:space="preserve">NE-11</t>
  </si>
  <si>
    <t xml:space="preserve">طلاب المجموعة</t>
  </si>
  <si>
    <t xml:space="preserve">GET Course/GetGroupStudents?groupId&amp;keyword</t>
  </si>
  <si>
    <t xml:space="preserve">Q-02</t>
  </si>
  <si>
    <t xml:space="preserve">رد بطلاب (الحقول المرجعة)</t>
  </si>
  <si>
    <t xml:space="preserve">T3-01، T3-02، T3-03، T3-04</t>
  </si>
  <si>
    <t xml:space="preserve">DTO معروف؛ يتطلب groupId (Q-02b)</t>
  </si>
  <si>
    <t xml:space="preserve">NE-12</t>
  </si>
  <si>
    <t xml:space="preserve">جدول دروس الكورس (معلم)</t>
  </si>
  <si>
    <t xml:space="preserve">GET Lesson/GetSchedule?courseId&amp;groupId</t>
  </si>
  <si>
    <t xml:space="preserve">رد بدروس حضورية وأونلاين</t>
  </si>
  <si>
    <t xml:space="preserve">T4-01، T4-05</t>
  </si>
  <si>
    <t xml:space="preserve">DTO من الكود؛ يكفيه courseId | 2026-10-09: GetSchedule يرجّع الملغاة بلا status، و PlatformOrRoom للأونلاين يحوي الرابط، و Room لا يُحفظ (Q-28..Q-30)</t>
  </si>
  <si>
    <t xml:space="preserve">NE-13</t>
  </si>
  <si>
    <t xml:space="preserve">مصدر المادة/التصنيف/الصف (IDs)</t>
  </si>
  <si>
    <t xml:space="preserve">GET Teacher/CreateEditModal · POST Constant/GetAll</t>
  </si>
  <si>
    <t xml:space="preserve">Q-04</t>
  </si>
  <si>
    <t xml:space="preserve">من أين نجلب subjectId/categoryId/gradeId؟ مع الرد الفعلي (وأي parentId لـConstant)</t>
  </si>
  <si>
    <t xml:space="preserve">T1-03، T1-04، T1-05، T1-06، S1-03، S1-05</t>
  </si>
  <si>
    <t xml:space="preserve">SubjectId اختياري؛ categoryId بلا endpoint (Q-04b)</t>
  </si>
  <si>
    <t xml:space="preserve">NE-14</t>
  </si>
  <si>
    <t xml:space="preserve">تحقق اختياري: أنواع موجودة بالكود قد تكون قديمة بعد تحديث الباك اند (لا تحجب أي مهمة)</t>
  </si>
  <si>
    <t xml:space="preserve">تحقق اختياري</t>
  </si>
  <si>
    <t xml:space="preserve">GET Student/Dashboard · Student/Schedule · Student/Progress · Parent/MyChildren · Parent/ChildAttendance · Parent/ChildExamResults · Wallet/MyWallet · POST Wallet/GetTransactionHistory · Teacher/PublicProfile · Teacher/Availability</t>
  </si>
  <si>
    <t xml:space="preserve">هذه الردود غير موثّقة بالـSwagger أيضًا، لكن أنواعها منسوخة بالكود من DTOs الباك اند. إن تغيّر الباك اند قد تكون قديمة؛ عيّنة واحدة لكل endpoint تكفي للتأكد</t>
  </si>
  <si>
    <t xml:space="preserve">لا</t>
  </si>
  <si>
    <t xml:space="preserve">قرارات/أسئلة لا تحجب بدء مهمة لكنها تغيّر السلوك أو النصوص (تفاصيلها بورقة OpenQuestions): Q-06 · Q-07 · Q-11 · Q-12 · Q-14 · Q-15 · Q-18 · Q-19 · Q-20 · Q-21. وQ-17 (حسابات اختبار) تحجب QA فقط.</t>
  </si>
  <si>
    <t xml:space="preserve">التوفّر والتوازي وحجم كل حزمة</t>
  </si>
  <si>
    <t xml:space="preserve">محسوب من Tasks. نقاط الجهد = S×1 + M×3 + L×5 (تقدير نسبي للمقارنة فقط، وليس ساعات). الأصفر = قابل للتعديل.</t>
  </si>
  <si>
    <t xml:space="preserve">وزن S</t>
  </si>
  <si>
    <t xml:space="preserve">وزن M</t>
  </si>
  <si>
    <t xml:space="preserve">وزن L</t>
  </si>
  <si>
    <t xml:space="preserve">عدد المهام</t>
  </si>
  <si>
    <t xml:space="preserve">S</t>
  </si>
  <si>
    <t xml:space="preserve">M</t>
  </si>
  <si>
    <t xml:space="preserve">L</t>
  </si>
  <si>
    <t xml:space="preserve">نقاط الجهد</t>
  </si>
  <si>
    <t xml:space="preserve">JSON: نعم</t>
  </si>
  <si>
    <t xml:space="preserve">JSON: جزئي</t>
  </si>
  <si>
    <t xml:space="preserve">JSON: لا</t>
  </si>
  <si>
    <t xml:space="preserve">بوابة البدء (WP)</t>
  </si>
  <si>
    <t xml:space="preserve">يمكن توازيه مع</t>
  </si>
  <si>
    <t xml:space="preserve">ملاحظة</t>
  </si>
  <si>
    <t xml:space="preserve">WP-00</t>
  </si>
  <si>
    <t xml:space="preserve">الأساس المشترك (Foundation)</t>
  </si>
  <si>
    <t xml:space="preserve">Wave 0</t>
  </si>
  <si>
    <t xml:space="preserve">سُلِّم — بانتظار validate (00-17)</t>
  </si>
  <si>
    <t xml:space="preserve">WP-P1، WP-W2 (الآن)</t>
  </si>
  <si>
    <t xml:space="preserve">لا يعتمد على JSON. يُغلق بتشغيلك validate محليًا.</t>
  </si>
  <si>
    <t xml:space="preserve">WP-J</t>
  </si>
  <si>
    <t xml:space="preserve">أنواع الردود الفعلية (بانتظار عينات JSON)</t>
  </si>
  <si>
    <t xml:space="preserve">Wave J</t>
  </si>
  <si>
    <t xml:space="preserve">عند وصول عينات JSON</t>
  </si>
  <si>
    <t xml:space="preserve">يفتح المهام المعلّمة JSON=نعم.</t>
  </si>
  <si>
    <t xml:space="preserve">WP-T1</t>
  </si>
  <si>
    <t xml:space="preserve">المعلم: قائمة الكورسات + شاشة الكورس + نموذج التفاصيل</t>
  </si>
  <si>
    <t xml:space="preserve">Wave 1</t>
  </si>
  <si>
    <t xml:space="preserve">حسب المهمة: «الآن» / «الآن (seam)» / «بعد JSON»</t>
  </si>
  <si>
    <t xml:space="preserve">كل WPs Wave 1 الأخرى (ملفات منفصلة)</t>
  </si>
  <si>
    <t xml:space="preserve">شغّل المهام الخالية من JSON الآن؛ المعلّمة JSON=نعم تنتظر WP-J.</t>
  </si>
  <si>
    <t xml:space="preserve">WP-T2</t>
  </si>
  <si>
    <t xml:space="preserve">المعلم: إعداد المجموعة والجدول المتكرر</t>
  </si>
  <si>
    <t xml:space="preserve">WP-T3</t>
  </si>
  <si>
    <t xml:space="preserve">المعلم: طلاب المجموعة</t>
  </si>
  <si>
    <t xml:space="preserve">WP-T4</t>
  </si>
  <si>
    <t xml:space="preserve">المعلم: الدروس (إنشاء/جدولة/تعديل/إلغاء/اجتماع)</t>
  </si>
  <si>
    <t xml:space="preserve">WP-T5</t>
  </si>
  <si>
    <t xml:space="preserve">المعلم: طلبات الحجز + طلبات إعادة الجدولة + لوحة المعلم</t>
  </si>
  <si>
    <t xml:space="preserve">WP-S1</t>
  </si>
  <si>
    <t xml:space="preserve">الطالب: شاشة إنشاء الحجز</t>
  </si>
  <si>
    <t xml:space="preserve">WP-S2</t>
  </si>
  <si>
    <t xml:space="preserve">الطالب: تفاصيل الحجز + الإلغاء + لوحات كورساتي</t>
  </si>
  <si>
    <t xml:space="preserve">WP-S3</t>
  </si>
  <si>
    <t xml:space="preserve">الطالب: طلب إعادة الجدولة</t>
  </si>
  <si>
    <t xml:space="preserve">WP-S4</t>
  </si>
  <si>
    <t xml:space="preserve">الطالب: تقييم المعلم</t>
  </si>
  <si>
    <t xml:space="preserve">WP-S5</t>
  </si>
  <si>
    <t xml:space="preserve">الطالب: تفاصيل الدرس (حضوري/أونلاين) + تحسين الجدول</t>
  </si>
  <si>
    <t xml:space="preserve">WP-S6</t>
  </si>
  <si>
    <t xml:space="preserve">الطالب: تفاصيل الكورس المسجَّل</t>
  </si>
  <si>
    <t xml:space="preserve">WP-S7</t>
  </si>
  <si>
    <t xml:space="preserve">الطالب: سجل الحضور</t>
  </si>
  <si>
    <t xml:space="preserve">WP-S8</t>
  </si>
  <si>
    <t xml:space="preserve">الطالب: نتائج الامتحانات</t>
  </si>
  <si>
    <t xml:space="preserve">WP-S9</t>
  </si>
  <si>
    <t xml:space="preserve">الطالب: التقدم الأكاديمي</t>
  </si>
  <si>
    <t xml:space="preserve">WP-P1</t>
  </si>
  <si>
    <t xml:space="preserve">ولي الأمر: عدد الإشعارات + تقييد الوصول + تحسينات التقرير</t>
  </si>
  <si>
    <t xml:space="preserve">الآن (ما عدا P1-05 بعد enums)</t>
  </si>
  <si>
    <t xml:space="preserve">WP-00، WP-W2</t>
  </si>
  <si>
    <t xml:space="preserve">يعدّل ملفات قائمة فقط؛ لا stubs ولا تعارض مع WP-00.</t>
  </si>
  <si>
    <t xml:space="preserve">WP-W1</t>
  </si>
  <si>
    <t xml:space="preserve">المحفظة (طالب): الخصم وحالة الدفع</t>
  </si>
  <si>
    <t xml:space="preserve">WP-W2</t>
  </si>
  <si>
    <t xml:space="preserve">المحفظة (معلم): إيداع الأرباح بعد العمولة</t>
  </si>
  <si>
    <t xml:space="preserve">الآن</t>
  </si>
  <si>
    <t xml:space="preserve">WP-00، WP-P1</t>
  </si>
  <si>
    <t xml:space="preserve">يعدّل teacher.earnings.tsx فقط؛ يستخدم دوال المحفظة الموجودة.</t>
  </si>
  <si>
    <t xml:space="preserve">WP-QA</t>
  </si>
  <si>
    <t xml:space="preserve">التكامل والاختبار والتوثيق</t>
  </si>
  <si>
    <t xml:space="preserve">Wave 2</t>
  </si>
  <si>
    <t xml:space="preserve">بعد Wave 1</t>
  </si>
  <si>
    <t xml:space="preserve">المجموع</t>
  </si>
  <si>
    <t xml:space="preserve">المتاح للبدء الآن (بوابة = «الآن»)</t>
  </si>
  <si>
    <t xml:space="preserve">نقاط جهدها</t>
  </si>
  <si>
    <t xml:space="preserve">خطة التوازي والدمج</t>
  </si>
  <si>
    <t xml:space="preserve">مقترح لتقسيم العمل على جلسات. أي مجموعة من WPs بنفس الـ Wave آمنة التوازي لأن ملفاتها منفصلة (راجع FileOwnership).</t>
  </si>
  <si>
    <t xml:space="preserve">المرحلة</t>
  </si>
  <si>
    <t xml:space="preserve">المسار/Track</t>
  </si>
  <si>
    <t xml:space="preserve">WPs</t>
  </si>
  <si>
    <t xml:space="preserve">شرط البدء</t>
  </si>
  <si>
    <t xml:space="preserve">بوابة الإنجاز (Gate)</t>
  </si>
  <si>
    <t xml:space="preserve">Claude ينفّذ كاملًا ثم يشغّل المستخدم validate</t>
  </si>
  <si>
    <t xml:space="preserve">WP-00 → W0-Final</t>
  </si>
  <si>
    <t xml:space="preserve">WP-00 بالكامل (بلا JSON). بالتوازي معه يمكن للمستخدم بدء WP-P1 وWP-W2 فورًا (يعدّلان ملفات قائمة ولا يمسّان WP-00). WP-J ينتظر العينات.</t>
  </si>
  <si>
    <t xml:space="preserve">إجابة Q-01..Q-05 (على الأقل العينات) ← أو البدء بأنواع متساهلة</t>
  </si>
  <si>
    <t xml:space="preserve">WP-00 مكتمل + validate أخضر + إغلاق D-01..D-09 + إعلان الملفات المجمّدة</t>
  </si>
  <si>
    <t xml:space="preserve">عند وصول العينات</t>
  </si>
  <si>
    <t xml:space="preserve">استبدال PendingResponse بأنواع حقيقية</t>
  </si>
  <si>
    <t xml:space="preserve">عينات JSON من المستخدم</t>
  </si>
  <si>
    <t xml:space="preserve">J-07 مكتمل</t>
  </si>
  <si>
    <t xml:space="preserve">Track 1: كورسات المعلم</t>
  </si>
  <si>
    <t xml:space="preserve">WP-T1 → WP-T3</t>
  </si>
  <si>
    <t xml:space="preserve">T3 يعتمد وظيفيًا على shell من T1 لكن كوديًا مستقل</t>
  </si>
  <si>
    <t xml:space="preserve">Wave 0 مغلق</t>
  </si>
  <si>
    <t xml:space="preserve">كل مهام الـ WPs مكتملة + validate</t>
  </si>
  <si>
    <t xml:space="preserve">Track 2: مجموعات ودروس</t>
  </si>
  <si>
    <t xml:space="preserve">WP-T2 → WP-T4</t>
  </si>
  <si>
    <t xml:space="preserve">الأكبر حجمًا (T4=L)؛ يمكن فصل T4 لجلستين داخليًا لكن بنفس الملفات → جلسة واحدة</t>
  </si>
  <si>
    <t xml:space="preserve">Wave 0 مغلق + Q-02</t>
  </si>
  <si>
    <t xml:space="preserve">نفسه</t>
  </si>
  <si>
    <t xml:space="preserve">Track 3: طلبات الحجز (معلم) + أرباح</t>
  </si>
  <si>
    <t xml:space="preserve">WP-T5 + WP-W2</t>
  </si>
  <si>
    <t xml:space="preserve">Track 4: إنشاء الحجز + تفاصيله</t>
  </si>
  <si>
    <t xml:space="preserve">WP-S1 + WP-S2</t>
  </si>
  <si>
    <t xml:space="preserve">يستهلكان stubs لـ W1/S3/S4</t>
  </si>
  <si>
    <t xml:space="preserve">Wave 0 مغلق + Q-04, Q-06</t>
  </si>
  <si>
    <t xml:space="preserve">Track 5: إجراءات الحجز + المحفظة</t>
  </si>
  <si>
    <t xml:space="preserve">WP-S3 + WP-S4 + WP-W1</t>
  </si>
  <si>
    <t xml:space="preserve">مكونات صغيرة مستقلة</t>
  </si>
  <si>
    <t xml:space="preserve">Track 6: الدروس والكورسات (طالب)</t>
  </si>
  <si>
    <t xml:space="preserve">WP-S5 + WP-S6</t>
  </si>
  <si>
    <t xml:space="preserve">Track 7: أكاديمي + ولي أمر</t>
  </si>
  <si>
    <t xml:space="preserve">WP-S7 + WP-S8 + WP-S9 + WP-P1</t>
  </si>
  <si>
    <t xml:space="preserve">كلها صغيرة (S)</t>
  </si>
  <si>
    <t xml:space="preserve">جلسة واحدة</t>
  </si>
  <si>
    <t xml:space="preserve">بعد دمج كل Wave 1</t>
  </si>
  <si>
    <t xml:space="preserve">كل Wave 1 مدموج + Q-17</t>
  </si>
  <si>
    <t xml:space="preserve">validate + e2e + UAT + تحديث التوثيق + إعادة التدقيق</t>
  </si>
  <si>
    <t xml:space="preserve">ترتيب الدمج المقترح</t>
  </si>
  <si>
    <t xml:space="preserve">1) WP-00 أولًا (حاجز). 2) بعده أي ترتيب لـ Wave 1 (لا تداخل ملفات). 3) يُفضَّل دمج T1 قبل اختبار T2/T3/T4 معًا، ودمج W1/S3/S4 قبل اختبار S2 كاملًا (اختبار تكاملي فقط).</t>
  </si>
  <si>
    <t xml:space="preserve">4) قبل كل دمج: git pull/rebase، شغّل npm run format &amp;&amp; npm run validate، تأكد أن PR لا يلمس routeTree.gen.ts ولا ملفات خارج الملكية.</t>
  </si>
  <si>
    <t xml:space="preserve">5) عند تعارض غير متوقع: أوقف، سجّله في ChangeRequests، لا تحلّه بتعديل ملف غيرك.</t>
  </si>
  <si>
    <t xml:space="preserve">حزم العمل (Work Packages)</t>
  </si>
  <si>
    <t xml:space="preserve">كل WP = وحدة عمل مستقلة بملفات لا يشاركها غيرها. الحالة والنسبة محسوبة تلقائيًا من ورقة Tasks. الأصفر = إدخال.</t>
  </si>
  <si>
    <t xml:space="preserve">FRs</t>
  </si>
  <si>
    <t xml:space="preserve">النطاق</t>
  </si>
  <si>
    <t xml:space="preserve">يعتمد على</t>
  </si>
  <si>
    <t xml:space="preserve">الحجم</t>
  </si>
  <si>
    <t xml:space="preserve">الفرع (Branch)</t>
  </si>
  <si>
    <t xml:space="preserve">الجلسة/Run</t>
  </si>
  <si>
    <t xml:space="preserve">قيد التنفيذ/المراجعة</t>
  </si>
  <si>
    <t xml:space="preserve">الحالة (محسوبة)</t>
  </si>
  <si>
    <t xml:space="preserve">تم الدمج؟</t>
  </si>
  <si>
    <t xml:space="preserve">رابط PR</t>
  </si>
  <si>
    <t xml:space="preserve">عام</t>
  </si>
  <si>
    <t xml:space="preserve">مواءمة طبقة الـ API مع Swagger (طلبات الكتابة + OperationResult) + enums/formatters + مكونات UI مشتركة + تسجيل الصفحات + stubs + routeTree. لا يعتمد على JSON: كل رد غير موثّق يُكتب كـ PendingResponse ويُترك لـ WP-J. ينفّذه Claude بالكامل؛ المستخدم يشغّل validate/توليد routeTree محليًا (00-17).</t>
  </si>
  <si>
    <t xml:space="preserve">feat/wp-00-foundation</t>
  </si>
  <si>
    <t xml:space="preserve">Claude + المستخدم</t>
  </si>
  <si>
    <t xml:space="preserve">W0-A + W0-B + W0-Final</t>
  </si>
  <si>
    <t xml:space="preserve">استبدال الأنواع المؤقتة PendingResponse بأنواع حقيقية من عينات JSON، وحسم Q-01..Q-05. لا يبدأ قبل وصول العينات. يمسّ فقط أقسام الأنواع في ملفات API التي أنشأها WP-00.</t>
  </si>
  <si>
    <t xml:space="preserve">عينات JSON من المستخدم + إغلاق WP-00</t>
  </si>
  <si>
    <t xml:space="preserve">feat/wp-j-response-types</t>
  </si>
  <si>
    <t xml:space="preserve">FR-I01, FR-I05 (داعم)</t>
  </si>
  <si>
    <t xml:space="preserve">teacher.courses (قائمة) + teacher.course.$id (shell بتبويبات) + تبويب التفاصيل (إنشاء/تعديل كورس حضوري/أونلاين + مسودة).</t>
  </si>
  <si>
    <t xml:space="preserve">feat/wp-t1-teacher-courses</t>
  </si>
  <si>
    <t xml:space="preserve">FR-I02, FR-I06</t>
  </si>
  <si>
    <t xml:space="preserve">تبويب إعداد المجموعة: الحد الأقصى، أيام الحضور + الوقت، المدة، فترة الكورس (حضوري وأونلاين).</t>
  </si>
  <si>
    <t xml:space="preserve">feat/wp-t2-group-config</t>
  </si>
  <si>
    <t xml:space="preserve">FR-I03</t>
  </si>
  <si>
    <t xml:space="preserve">تبويب طلاب المجموعة: اسم/هاتف/موقع + بحث + حالة فارغة.</t>
  </si>
  <si>
    <t xml:space="preserve">feat/wp-t3-group-students</t>
  </si>
  <si>
    <t xml:space="preserve">FR-I04, FR-I08, FR-I07, FR-I09, FR-I10, FR-I11</t>
  </si>
  <si>
    <t xml:space="preserve">تبويب الدروس: قائمة زمنية + نموذج درس حضوري/أونلاين + تعديل + إعداد الاجتماع + إلغاء بسبب.</t>
  </si>
  <si>
    <t xml:space="preserve">feat/wp-t4-lessons</t>
  </si>
  <si>
    <t xml:space="preserve">FR-T10 (داعم), FR-T06 (جهة المعلم), FR-S15 (جهة المعلم)</t>
  </si>
  <si>
    <t xml:space="preserve">teacher.bookings: قبول/رفض/إنهاء + قرار إعادة الجدولة + استبدال لوحة المعلم المعطّلة بعرض حقيقي.</t>
  </si>
  <si>
    <t xml:space="preserve">feat/wp-t5-teacher-bookings</t>
  </si>
  <si>
    <t xml:space="preserve">FR-T06 (+FR-T05)</t>
  </si>
  <si>
    <t xml:space="preserve">book.$teacherId: اختيار الوضع/التاريخ/الوقت/المادة/الصف + تقدير السعر + فحص الرصيد + إرسال الحجز + تفعيل زر الحجز في صفحة المعلم.</t>
  </si>
  <si>
    <t xml:space="preserve">feat/wp-s1-create-booking</t>
  </si>
  <si>
    <t xml:space="preserve">FR-S14</t>
  </si>
  <si>
    <t xml:space="preserve">booking.$id + إلغاء الحجز + لوحتا (الحجوزات المؤكدة / الطلبات المعلقة) مع سجل المرفوض/الملغى.</t>
  </si>
  <si>
    <t xml:space="preserve">feat/wp-s2-booking-detail-cancel</t>
  </si>
  <si>
    <t xml:space="preserve">FR-S15</t>
  </si>
  <si>
    <t xml:space="preserve">نافذة طلب إعادة جدولة + لوحة تتبع حالة الطلبات.</t>
  </si>
  <si>
    <t xml:space="preserve">feat/wp-s3-reschedule</t>
  </si>
  <si>
    <t xml:space="preserve">FR-T11</t>
  </si>
  <si>
    <t xml:space="preserve">نافذة تقييم (نجوم + مراجعة) للحجز المكتمل + منع التكرار + تحديث الكاشات.</t>
  </si>
  <si>
    <t xml:space="preserve">feat/wp-s4-rating</t>
  </si>
  <si>
    <t xml:space="preserve">FR-S06, FR-S07</t>
  </si>
  <si>
    <t xml:space="preserve">lesson.$id + أعمدة القاعة/المنصة/انضمام في schedule + روابط للتفاصيل.</t>
  </si>
  <si>
    <t xml:space="preserve">feat/wp-s5-lesson-detail</t>
  </si>
  <si>
    <t xml:space="preserve">FR-S08</t>
  </si>
  <si>
    <t xml:space="preserve">enrolled-course.$id + لوحة (كورساتي المسجّلة).</t>
  </si>
  <si>
    <t xml:space="preserve">feat/wp-s6-enrolled-course</t>
  </si>
  <si>
    <t xml:space="preserve">FR-S09</t>
  </si>
  <si>
    <t xml:space="preserve">attendance: سجل + نسبة + فلاتر.</t>
  </si>
  <si>
    <t xml:space="preserve">feat/wp-s7-attendance</t>
  </si>
  <si>
    <t xml:space="preserve">FR-S10</t>
  </si>
  <si>
    <t xml:space="preserve">exam-results: جدول + نسبة + ملاحظات + فلتر كورس.</t>
  </si>
  <si>
    <t xml:space="preserve">feat/wp-s8-exam-results</t>
  </si>
  <si>
    <t xml:space="preserve">FR-S11</t>
  </si>
  <si>
    <t xml:space="preserve">progress: مؤشرات الحضور والامتحانات مع معالجة القيم غير المتاحة.</t>
  </si>
  <si>
    <t xml:space="preserve">feat/wp-s9-progress</t>
  </si>
  <si>
    <t xml:space="preserve">FR-P11, FR-P08</t>
  </si>
  <si>
    <t xml:space="preserve">عرض unreadNotificationsCount + معالجة 403 + حالة الحضور + بانر قراءة فقط.</t>
  </si>
  <si>
    <t xml:space="preserve">feat/wp-p1-parent</t>
  </si>
  <si>
    <t xml:space="preserve">FR-W03a</t>
  </si>
  <si>
    <t xml:space="preserve">بطاقة حالة دفع الحجز + تنبيه الرصيد غير الكافي + وضوح حركات الخصم بسجل المحفظة.</t>
  </si>
  <si>
    <t xml:space="preserve">feat/wp-w1-wallet-deduction</t>
  </si>
  <si>
    <t xml:space="preserve">FR-W03b</t>
  </si>
  <si>
    <t xml:space="preserve">teacher.earnings: عرض إيداعات الأرباح + توضيح العمولة بصدق.</t>
  </si>
  <si>
    <t xml:space="preserve">feat/wp-w2-earnings</t>
  </si>
  <si>
    <t xml:space="preserve">الكل</t>
  </si>
  <si>
    <t xml:space="preserve">validate أخضر + e2e + تشغيل UAT + RTL/موبايل + تحديث README/CHANGELOG/ATLAS + إعادة التدقيق.</t>
  </si>
  <si>
    <t xml:space="preserve">كل WP من Wave 1</t>
  </si>
  <si>
    <t xml:space="preserve">feat/wp-qa-integration</t>
  </si>
  <si>
    <t xml:space="preserve">المهام التفصيلية (Tasks)</t>
  </si>
  <si>
    <t xml:space="preserve">المصدر الوحيد لحالة العمل. حدّث الأعمدة الصفراء فقط (الحالة، المسؤول، الجلسة، التواريخ، التحقق، الملاحظات). الأعمدة الزرقاء صيغ.</t>
  </si>
  <si>
    <t xml:space="preserve">ID</t>
  </si>
  <si>
    <t xml:space="preserve">FR (أساسي)</t>
  </si>
  <si>
    <t xml:space="preserve">المهمة</t>
  </si>
  <si>
    <t xml:space="preserve">التفاصيل / معيار القبول</t>
  </si>
  <si>
    <t xml:space="preserve">الملفات (تحت src/ ما لم يُذكر)</t>
  </si>
  <si>
    <t xml:space="preserve">Endpoints</t>
  </si>
  <si>
    <t xml:space="preserve">تعتمد على</t>
  </si>
  <si>
    <t xml:space="preserve">الأولوية</t>
  </si>
  <si>
    <t xml:space="preserve">الفرع (من WP)</t>
  </si>
  <si>
    <t xml:space="preserve">بدأ</t>
  </si>
  <si>
    <t xml:space="preserve">اكتمل</t>
  </si>
  <si>
    <t xml:space="preserve">تم التحقق؟ (validate+UAT)</t>
  </si>
  <si>
    <t xml:space="preserve">يعتمد على JSON؟</t>
  </si>
  <si>
    <t xml:space="preserve">بوابة البدء</t>
  </si>
  <si>
    <t xml:space="preserve">ينتظر (NE)</t>
  </si>
  <si>
    <t xml:space="preserve">حالة الاعتماد (محسوبة)</t>
  </si>
  <si>
    <t xml:space="preserve">00-01</t>
  </si>
  <si>
    <t xml:space="preserve">API</t>
  </si>
  <si>
    <t xml:space="preserve">مواءمة bookings.ts مع Swagger</t>
  </si>
  <si>
    <t xml:space="preserve">BookingInput = {teacherId, subjectId, gradeId, teachingMode(1|2), date, startTime, durationMinutes, studentNote}. decide يرسل accept (وليس approve). rate يرسل ratingValue + review. كل الدوال ترجع OperationResult (وليس BookingRow). الحالات أرقام 1..6. (طلبات الكتابة + OperationResult؛ ردود القوائم = PendingResponse)</t>
  </si>
  <si>
    <t xml:space="preserve">integrations/backend/bookings.ts</t>
  </si>
  <si>
    <t xml:space="preserve">Booking/Submit, Decide, Cancel, Complete, Rate, MyBookings, TeacherBookings</t>
  </si>
  <si>
    <t xml:space="preserve">P0</t>
  </si>
  <si>
    <t xml:space="preserve">Claude</t>
  </si>
  <si>
    <t xml:space="preserve">W0</t>
  </si>
  <si>
    <t xml:space="preserve">سُلِّم في wp-00-files.zip؛ بانتظار 00-17 (routeTree + validate محليًا)</t>
  </si>
  <si>
    <t xml:space="preserve">WP-00 (سُلِّم — بانتظار validate)</t>
  </si>
  <si>
    <t xml:space="preserve">00-02</t>
  </si>
  <si>
    <t xml:space="preserve">إضافة دوال إعادة الجدولة (جهة المعلم)</t>
  </si>
  <si>
    <t xml:space="preserve">listTeacherRescheduleRequests(status?) + decideReschedule({requestId, approve, rejectionReason}).</t>
  </si>
  <si>
    <t xml:space="preserve">Booking/TeacherRescheduleRequests, DecideReschedule</t>
  </si>
  <si>
    <t xml:space="preserve">00-03</t>
  </si>
  <si>
    <t xml:space="preserve">مواءمة lessons.ts</t>
  </si>
  <si>
    <t xml:space="preserve">Create/Update/ConfigureMeeting/Cancel ترجع OperationResult؛ getLessonSchedule بنوع مرن حسب العينة Q-05؛ توحيد MeetingPlatform عبر enums.ts. (GetSchedule = PendingResponse)</t>
  </si>
  <si>
    <t xml:space="preserve">integrations/backend/lessons.ts</t>
  </si>
  <si>
    <t xml:space="preserve">Lesson/Create, Update, ConfigureMeeting, Cancel, GetSchedule</t>
  </si>
  <si>
    <t xml:space="preserve">00-07</t>
  </si>
  <si>
    <t xml:space="preserve">00-04</t>
  </si>
  <si>
    <t xml:space="preserve">إضافة دوال الكورسات الناقصة</t>
  </si>
  <si>
    <t xml:space="preserve">createEditCourse(CourseInput) + configureGroupSchedule(input) + getGroupStudents(groupId, keyword?) + getMyCourse(id) + listMyCourses() (حسب Q-01) + نوع TeacherCourseDetail (حسب Q-02/Q-05).</t>
  </si>
  <si>
    <t xml:space="preserve">createEditCourse(CourseInput) + configureGroupSchedule(input) + getGroupStudents(groupId, keyword?) + getMyCourse(id) + listMyCourses(). أجسام الطلب من Swagger؛ كل رد غير موثّق = PendingResponse (يُستبدل في WP-J).</t>
  </si>
  <si>
    <t xml:space="preserve">Course/CreateEdit, ConfigureGroupSchedule, GetGroupStudents, GetMineById, GetAll</t>
  </si>
  <si>
    <t xml:space="preserve">00-06, 00-07, 00-21</t>
  </si>
  <si>
    <t xml:space="preserve">00-05</t>
  </si>
  <si>
    <t xml:space="preserve">إضافة 10 دوال ناقصة لـ student.ts</t>
  </si>
  <si>
    <t xml:space="preserve">getStudentBooking, getStudentBookingPayment, studentCancelBooking, requestReschedule, getMyRescheduleRequests, getStudentLesson, getStudentCourse, getStudentAttendance, getStudentExamResults, getStudentProgress + أنواعها.</t>
  </si>
  <si>
    <t xml:space="preserve">10 دوال جديدة: بارامترات/أجسام الطلب من Swagger. الردود غير الموثّقة = PendingResponse؛ الاستثناء getStudentProgress يستخدم StudentProgressDto الموجود بالكود.</t>
  </si>
  <si>
    <t xml:space="preserve">Student/GetBooking, BookingPayment, CancelBooking, RequestReschedule, MyRescheduleRequests, GetLesson, GetCourse, Attendance, ExamResults, Progress</t>
  </si>
  <si>
    <t xml:space="preserve">00-06</t>
  </si>
  <si>
    <t xml:space="preserve">ملف op-result.ts</t>
  </si>
  <si>
    <t xml:space="preserve">نوع OperationResult + assertOk(result, fallbackAr, fallbackEn) يرمي Error برسالة الباك اند (مع cleanBackendMessage) عند success=false.</t>
  </si>
  <si>
    <t xml:space="preserve">integrations/backend/op-result.ts</t>
  </si>
  <si>
    <t xml:space="preserve">Lib</t>
  </si>
  <si>
    <t xml:space="preserve">ملف enums.ts</t>
  </si>
  <si>
    <t xml:space="preserve">BookingStatus(1..6)+labels+tones، DeliveryType، MeetingPlatform، AttendanceStatus، RescheduleStatus (الأسماء تُؤكَّد من Q-05)، DayOfWeek. إزالة التكرار من student.ts/lessons.ts بإعادة التصدير.</t>
  </si>
  <si>
    <t xml:space="preserve">lib/enums.ts</t>
  </si>
  <si>
    <t xml:space="preserve">00-08</t>
  </si>
  <si>
    <t xml:space="preserve">ملف format.ts + اختبارات</t>
  </si>
  <si>
    <t xml:space="preserve">formatDate, formatTime(HH:mm:ss→HH:mm), dayName(date), formatMoney(₪)، combineDateTime، isHttpUrl (يرفض javascript: وغيره).</t>
  </si>
  <si>
    <t xml:space="preserve">lib/format.ts, lib/format.test.ts</t>
  </si>
  <si>
    <t xml:space="preserve">00-09</t>
  </si>
  <si>
    <t xml:space="preserve">Component</t>
  </si>
  <si>
    <t xml:space="preserve">مكونات UI مشتركة</t>
  </si>
  <si>
    <t xml:space="preserve">BookingStatusBadge, StarRating (1..5، قابل للقراءة فقط/للإدخال)، SegmentedTabs (لا يوجد Tabs في المشروع)، ConfirmDialog (فوق alert-dialog).</t>
  </si>
  <si>
    <t xml:space="preserve">components/app/booking-status-badge.tsx, components/ui/star-rating.tsx, components/ui/segmented-tabs.tsx, components/app/confirm-dialog.tsx</t>
  </si>
  <si>
    <t xml:space="preserve">00-10</t>
  </si>
  <si>
    <t xml:space="preserve">ملف query-keys.ts</t>
  </si>
  <si>
    <t xml:space="preserve">مصنع مفاتيح react-query موحّد + invalidateBookingQueries(qc, id?) لمنع تضارب/نسيان الإبطال بين الـ WPs.</t>
  </si>
  <si>
    <t xml:space="preserve">lib/query-keys.ts</t>
  </si>
  <si>
    <t xml:space="preserve">يتضمن qk.teacherEarningsCredits() (أُضيف من WP-W2 قبل إغلاق WP-00 — بلا CR)</t>
  </si>
  <si>
    <t xml:space="preserve">00-11</t>
  </si>
  <si>
    <t xml:space="preserve">ملف booking-rules.ts + اختبارات</t>
  </si>
  <si>
    <t xml:space="preserve">دوال نقية: canCancel/canReschedule/canRate(booking) بناءً على الحالة والتاريخ (ويُعتمد الباك اند كمرجع نهائي). تستهلكها WP-S2/S3/S4.</t>
  </si>
  <si>
    <t xml:space="preserve">lib/booking-rules.ts, lib/booking-rules.test.ts</t>
  </si>
  <si>
    <t xml:space="preserve">00-12</t>
  </si>
  <si>
    <t xml:space="preserve">Test</t>
  </si>
  <si>
    <t xml:space="preserve">اختبارات طبقة الـ API</t>
  </si>
  <si>
    <t xml:space="preserve">bookings/lessons/student/courses (نمط courses.test.ts: mock لـ apiClient) تغطي المسارات، الحقول، ومعالجة OperationResult.</t>
  </si>
  <si>
    <t xml:space="preserve">integrations/backend/bookings.test.ts, lessons.test.ts, student.test.ts, courses.test.ts</t>
  </si>
  <si>
    <t xml:space="preserve">كل ما سبق</t>
  </si>
  <si>
    <t xml:space="preserve">00-01..00-06</t>
  </si>
  <si>
    <t xml:space="preserve">تعديل courses.test.ts (ملك WP-00 أصلًا)</t>
  </si>
  <si>
    <t xml:space="preserve">00-13</t>
  </si>
  <si>
    <t xml:space="preserve">Nav</t>
  </si>
  <si>
    <t xml:space="preserve">تسجيل الصفحات الجديدة بالتنقّل</t>
  </si>
  <si>
    <t xml:space="preserve">إضافة PAGES: student_attendance, student_exam_results, student_progress, teacher_bookings (أيقونات + مسارات). صفحات التفاصيل تُعيد استخدام مفاتيح موجودة (انظر Contracts).</t>
  </si>
  <si>
    <t xml:space="preserve">lib/rbac-static-data.ts</t>
  </si>
  <si>
    <t xml:space="preserve">00-14</t>
  </si>
  <si>
    <t xml:space="preserve">Route</t>
  </si>
  <si>
    <t xml:space="preserve">إنشاء كل ملفات الـ routes كـ stubs</t>
  </si>
  <si>
    <t xml:space="preserve">كل route جديد بـ Guard + AppPage + EmptyState «قيد البناء — WP-xx» لحين اكتمال مالكه. الملفات والمفاتيح مذكورة في FileOwnership.</t>
  </si>
  <si>
    <t xml:space="preserve">routes/_authenticated/{teacher.course.$id, teacher.bookings, book.$teacherId, booking.$id, lesson.$id, enrolled-course.$id, attendance, exam-results, progress}.tsx</t>
  </si>
  <si>
    <t xml:space="preserve">00-15</t>
  </si>
  <si>
    <t xml:space="preserve">Stubs للمكونات المتفق عليها</t>
  </si>
  <si>
    <t xml:space="preserve">كل مكون في Contracts بنفس الـ props المتفق عليها (يرجع null أو placeholder) كي لا يعتمد WP على آخر.</t>
  </si>
  <si>
    <t xml:space="preserve">components/teacher/*, components/student/*, components/wallet/insufficient-balance-alert.tsx</t>
  </si>
  <si>
    <t xml:space="preserve">00-16</t>
  </si>
  <si>
    <t xml:space="preserve">إعادة تركيب my-courses.tsx من لوحات</t>
  </si>
  <si>
    <t xml:space="preserve">تفكيك الصفحة إلى 4 مكونات لوحات (enrolled / confirmed / pending / reschedule) بسلوك مطابق للحالي. بعدها يُجمَّد الملف.</t>
  </si>
  <si>
    <t xml:space="preserve">routes/_authenticated/my-courses.tsx, components/student/my-courses/*</t>
  </si>
  <si>
    <t xml:space="preserve">Student/MyBookings, MyRequests</t>
  </si>
  <si>
    <t xml:space="preserve">00-17</t>
  </si>
  <si>
    <t xml:space="preserve">Build</t>
  </si>
  <si>
    <t xml:space="preserve">توليد routeTree.gen.ts مرة واحدة + validate</t>
  </si>
  <si>
    <t xml:space="preserve">تشغيل vite dev/build لتوليد الشجرة، commit، ثم npm run validate أخضر. بعدها يُمنع على أي WP لمس الملف.</t>
  </si>
  <si>
    <t xml:space="preserve">routeTree.gen.ts (تلقائي)</t>
  </si>
  <si>
    <t xml:space="preserve">المستخدم (محليًا)</t>
  </si>
  <si>
    <t xml:space="preserve">W0-Final</t>
  </si>
  <si>
    <t xml:space="preserve">المستخدم: npm run dev (توليد routeTree) ← npm run format ← npm run validate</t>
  </si>
  <si>
    <t xml:space="preserve">00-19</t>
  </si>
  <si>
    <t xml:space="preserve">(اختياري) مطابقة القائمة الجانبية لمسارات التفاصيل</t>
  </si>
  <si>
    <t xml:space="preserve">app-sidebar يحدد الوحدة النشطة بـ startsWith على مسارات PAGES؛ مسارات مثل /lesson/$id لن تفتح مجموعتها. تحسين اختياري.</t>
  </si>
  <si>
    <t xml:space="preserve">components/admin/app-sidebar.tsx</t>
  </si>
  <si>
    <t xml:space="preserve">P2</t>
  </si>
  <si>
    <t xml:space="preserve">تعديل app-sidebar.tsx ضمن 00-19 الاختيارية (DETAIL_ROUTE_OWNERS)</t>
  </si>
  <si>
    <t xml:space="preserve">00-20</t>
  </si>
  <si>
    <t xml:space="preserve">Tracker</t>
  </si>
  <si>
    <t xml:space="preserve">إغلاق Wave 0 وتجميد الملفات</t>
  </si>
  <si>
    <t xml:space="preserve">تحديث التتبع: Wave 0 مكتمل + إعلان قائمة الملفات المجمّدة + تفعيل Wave 1.</t>
  </si>
  <si>
    <t xml:space="preserve">هذا الملف</t>
  </si>
  <si>
    <t xml:space="preserve">00-01..00-17, 00-19, 00-21</t>
  </si>
  <si>
    <t xml:space="preserve">FR-I01</t>
  </si>
  <si>
    <t xml:space="preserve">UI</t>
  </si>
  <si>
    <t xml:space="preserve">استبدال placeholder «قيد التطوير» بقائمة حقيقية: العنوان، النوع (حضوري/أونلاين)، الحالة (مسودة/منشور/مؤرشف)، السعر، السعة. حالات تحميل/خطأ/فارغ. حذف نص P1-1 القديم.</t>
  </si>
  <si>
    <t xml:space="preserve">routes/_authenticated/teacher.courses.tsx</t>
  </si>
  <si>
    <t xml:space="preserve">Course/GetAll (أو بديل حسب Q-01)</t>
  </si>
  <si>
    <t xml:space="preserve">Claude دفعة 4 (منفّذ)</t>
  </si>
  <si>
    <t xml:space="preserve">teacher.courses.tsx: Course/GetAll (Q-01 مؤكَّد بالكود: كورسات المعلم فقط وبكل الحالات، pageSize≤100)؛ lib/teacher-courses.ts؛ CourseStatus أُضيف لـenums.ts؛ بانتظار validate أخضر عند المستخدم (آخر تشغيل 2026-10-08: typecheck فشل وtest 320/323 بسبب عدم نسخ ملفات دفعة 4 — حُلّ بـfix-pack-1)</t>
  </si>
  <si>
    <t xml:space="preserve">بعد JSON</t>
  </si>
  <si>
    <t xml:space="preserve">T1-02</t>
  </si>
  <si>
    <t xml:space="preserve">أزرار «إنشاء كورس حضوري/أونلاين»</t>
  </si>
  <si>
    <t xml:space="preserve">تنقّل إلى /teacher/course/new?type=1|2 (التحقق من search param بـ zod).</t>
  </si>
  <si>
    <t xml:space="preserve">P1</t>
  </si>
  <si>
    <t xml:space="preserve">المستخدم</t>
  </si>
  <si>
    <t xml:space="preserve">A-user (منفّذ)</t>
  </si>
  <si>
    <t xml:space="preserve">نفّذه المستخدم؛ أضاف validateSearch (zod) لـteacher.course.$id.tsx (ملف T1) كي يقبل Link search بـtsc</t>
  </si>
  <si>
    <t xml:space="preserve">منفّذ — قيد المراجعة</t>
  </si>
  <si>
    <t xml:space="preserve">T1-03</t>
  </si>
  <si>
    <t xml:space="preserve">نموذج تفاصيل الكورس (حضوري)</t>
  </si>
  <si>
    <t xml:space="preserve">الحقول: العنوان، الوصف، المادة، التصنيف، الصف، السعر، الحد الأقصى، اسم المجموعة. تحقق بـ zod ورسائل. إرسال CreateEdit ثم الانتقال لـ /teacher/course/{returnId}.</t>
  </si>
  <si>
    <t xml:space="preserve">components/teacher/course-details-tab.tsx</t>
  </si>
  <si>
    <t xml:space="preserve">Course/CreateEdit</t>
  </si>
  <si>
    <t xml:space="preserve">T1-05</t>
  </si>
  <si>
    <t xml:space="preserve">B (منفّذ)</t>
  </si>
  <si>
    <t xml:space="preserve">نفّذه Claude؛ course-details-tab.tsx + course-form-schema.ts: نموذج الكورس كامل (تحقق + جسم CreateEdit + الانتقال لـ/teacher/course/{id}). الحفظ معطّل بنص صادق حتى قوائم المادة/التصنيف (NE-13/Q-04)؛ التعديل معطّل حتى courseToDraft (J-05) — بانتظار validate</t>
  </si>
  <si>
    <t xml:space="preserve">T1-04</t>
  </si>
  <si>
    <t xml:space="preserve">FR-I05</t>
  </si>
  <si>
    <t xml:space="preserve">نموذج تفاصيل الكورس (أونلاين)</t>
  </si>
  <si>
    <t xml:space="preserve">نفس النموذج مع deliveryType=2 وتلميحات خاصة بالأونلاين (المنصة تُحدَّد على مستوى الدرس FR-I07).</t>
  </si>
  <si>
    <t xml:space="preserve">نفّذه Claude؛ نفس النموذج مع deliveryType=2 (أونلاين) + تلميح أن المنصة تُحدَّد لكل درس — بانتظار validate</t>
  </si>
  <si>
    <t xml:space="preserve">مصادر المادة/التصنيف/الصف</t>
  </si>
  <si>
    <t xml:space="preserve">قوائم الاختيار من endpoints مؤكَّدة (Q-04). لو القائمة فاضية: رسالة صادقة بدل بيانات مخترعة.</t>
  </si>
  <si>
    <t xml:space="preserve">Teacher/CreateEditModal, Constant/GetAll (يُحسم بـ Q-04)</t>
  </si>
  <si>
    <t xml:space="preserve">T1-06</t>
  </si>
  <si>
    <t xml:space="preserve">مسار «حفظ كمسودة / نشر»</t>
  </si>
  <si>
    <t xml:space="preserve">saveAsDraft + تبديل النشر؛ إظهار حالة الكورس بعد الحفظ.</t>
  </si>
  <si>
    <t xml:space="preserve">نفّذه Claude؛ زرّا «حفظ كمسودة» و«حفظ ونشر» (saveAsDraft) — بانتظار validate</t>
  </si>
  <si>
    <t xml:space="preserve">T1-07</t>
  </si>
  <si>
    <t xml:space="preserve">Shell شاشة الكورس + التبويبات</t>
  </si>
  <si>
    <t xml:space="preserve">teacher.course.$id: ترويسة + SegmentedTabs عبر ?tab= (details|group|students|lessons)، تعطيل التبويبات قبل حفظ الكورس، تمرير course للتبويبات حسب العقد C-01.</t>
  </si>
  <si>
    <t xml:space="preserve">routes/_authenticated/teacher.course.$id.tsx</t>
  </si>
  <si>
    <t xml:space="preserve">Course/GetMineById</t>
  </si>
  <si>
    <t xml:space="preserve">Claude دفعة 4</t>
  </si>
  <si>
    <t xml:space="preserve">جزئي: resolveCourseDeliveryType يقرأ deliveryType من الرد؛ resolveGroupId/courseToDraft ما زالتا null (Q-02b/NE-09)</t>
  </si>
  <si>
    <t xml:space="preserve">T1-08</t>
  </si>
  <si>
    <t xml:space="preserve">اختبارات مخطط التحقق</t>
  </si>
  <si>
    <t xml:space="preserve">اختبارات vitest لقواعد النموذج (حقول مطلوبة، سعر ≥ 0، سعة ≥ 1).</t>
  </si>
  <si>
    <t xml:space="preserve">components/teacher/course-details-tab.test.ts</t>
  </si>
  <si>
    <t xml:space="preserve">نفّذه Claude؛ course-details-tab.test.ts (12 فحصًا) — بانتظار validate</t>
  </si>
  <si>
    <t xml:space="preserve">T2-01</t>
  </si>
  <si>
    <t xml:space="preserve">FR-I02</t>
  </si>
  <si>
    <t xml:space="preserve">نموذج إعداد مجموعة حضورية</t>
  </si>
  <si>
    <t xml:space="preserve">الحد الأقصى للطلاب، تاريخ بداية/نهاية الكورس، مدة الدرس الافتراضية، صفوف أيام الحضور (يوم + وقت) قابلة للإضافة/الحذف → ConfigureGroupSchedule.</t>
  </si>
  <si>
    <t xml:space="preserve">components/teacher/group-config-tab.tsx</t>
  </si>
  <si>
    <t xml:space="preserve">Course/ConfigureGroupSchedule</t>
  </si>
  <si>
    <t xml:space="preserve">نفّذه Claude؛ group-config-tab.tsx + group-schedule-form.ts: النموذج كامل؛ الحفظ معطّل حتى groupId (course-seams → J-05/Q-02) — بانتظار validate</t>
  </si>
  <si>
    <t xml:space="preserve">T2-02</t>
  </si>
  <si>
    <t xml:space="preserve">FR-I06</t>
  </si>
  <si>
    <t xml:space="preserve">نفس النموذج للمجموعة الأونلاين</t>
  </si>
  <si>
    <t xml:space="preserve">حسب deliveryType للكورس: عناوين ونصوص مساعدة مختلفة، نفس الحقول.</t>
  </si>
  <si>
    <t xml:space="preserve">نفّذه Claude؛ نفس النموذج: العنوان فقط حسب نوع الكورس (seam) — بانتظار validate</t>
  </si>
  <si>
    <t xml:space="preserve">T2-03</t>
  </si>
  <si>
    <t xml:space="preserve">التحقق من صحة الجدول (عميل)</t>
  </si>
  <si>
    <t xml:space="preserve">نهاية ≥ بداية، مدة &gt; 0، سعة ≥ 1، يوم واحد على الأقل بدون تكرار نفس اليوم، الوقت صالح.</t>
  </si>
  <si>
    <t xml:space="preserve">نفّذه المستخدم (wave1-half-claude-files.zip)؛ بانتظار validate</t>
  </si>
  <si>
    <t xml:space="preserve">T2-04</t>
  </si>
  <si>
    <t xml:space="preserve">تحميل الإعداد الحالي للتعديل</t>
  </si>
  <si>
    <t xml:space="preserve">Alternative Flow: تعديل الجدول/السعة قبل بدء الكورس. يعتمد على ما يرجعه GetMineById (Q-02). لو غير متاح: عرض آخر قيم محفوظة بالجلسة فقط وتوثيق ذلك.</t>
  </si>
  <si>
    <t xml:space="preserve">T2-05</t>
  </si>
  <si>
    <t xml:space="preserve">عرض أخطاء الباك اند (تعارض/تحقق)</t>
  </si>
  <si>
    <t xml:space="preserve">رسائل التعارض مع دروس مجدولة تظهر بوضوح داخل النموذج وتمنع الحفظ (Exception Flow).</t>
  </si>
  <si>
    <t xml:space="preserve">نفّذه Claude؛ رسائل الباك اند (تعارض/تحقق) داخل النموذج والنموذج يبقى للتعديل — بانتظار validate</t>
  </si>
  <si>
    <t xml:space="preserve">T2-06</t>
  </si>
  <si>
    <t xml:space="preserve">اختبارات المحققات</t>
  </si>
  <si>
    <t xml:space="preserve">اختبارات للتحقق من الجدول (نقية).</t>
  </si>
  <si>
    <t xml:space="preserve">components/teacher/group-config-tab.test.ts</t>
  </si>
  <si>
    <t xml:space="preserve">نفّذه Claude؛ group-config-tab.test.ts (14 فحصًا لمحقق T2-03 ومنطق النموذج) — بانتظار validate</t>
  </si>
  <si>
    <t xml:space="preserve">T3-01</t>
  </si>
  <si>
    <t xml:space="preserve">جدول طلاب المجموعة</t>
  </si>
  <si>
    <t xml:space="preserve">اسم + هاتف + موقع فقط (حقول محدودة حسب ملاحظة الخصوصية في SRS). لا تعرض أي حقل إضافي يرجعه الباك اند.</t>
  </si>
  <si>
    <t xml:space="preserve">components/teacher/group-students-tab.tsx</t>
  </si>
  <si>
    <t xml:space="preserve">Course/GetGroupStudents</t>
  </si>
  <si>
    <t xml:space="preserve">الكود جاهز (group-students-tab.tsx: بحث + جدول + حالات) لكنه معطّل برسالة صادقة حتى يوفّر الباك اند groupId (Q-02b/B-2)؛ يعمل تلقائيًا عند توفره</t>
  </si>
  <si>
    <t xml:space="preserve">T3-02</t>
  </si>
  <si>
    <t xml:space="preserve">بحث بالاسم</t>
  </si>
  <si>
    <t xml:space="preserve">keyword مع useDebouncedValue (موجود بالمشروع).</t>
  </si>
  <si>
    <t xml:space="preserve">T3-03</t>
  </si>
  <si>
    <t xml:space="preserve">حالات التحميل/الخطأ/الفراغ</t>
  </si>
  <si>
    <t xml:space="preserve">رسالة «لا يوجد طلاب مقبولون بعد» عند الفراغ؛ ErrorState مع إعادة المحاولة.</t>
  </si>
  <si>
    <t xml:space="preserve">T3-04</t>
  </si>
  <si>
    <t xml:space="preserve">اختيار المجموعة (إن تعدّدت)</t>
  </si>
  <si>
    <t xml:space="preserve">لو الكورس فيه أكثر من مجموعة (Q-02) → قائمة اختيار؛ وإلا تُستخدم الوحيدة تلقائيًا.</t>
  </si>
  <si>
    <t xml:space="preserve">T4-01</t>
  </si>
  <si>
    <t xml:space="preserve">FR-I09</t>
  </si>
  <si>
    <t xml:space="preserve">قائمة الدروس (الجدول الزمني)</t>
  </si>
  <si>
    <t xml:space="preserve">GetSchedule(courseId, groupId): رقم، موضوع، تاريخ، يوم، وقت، مدة، حالة، + (قاعة | منصة+رابط). مرتبة زمنيًا؛ فلتر حالة/تاريخ؛ حالة فارغة.</t>
  </si>
  <si>
    <t xml:space="preserve">components/teacher/lessons-tab.tsx</t>
  </si>
  <si>
    <t xml:space="preserve">Lesson/GetSchedule</t>
  </si>
  <si>
    <t xml:space="preserve">Claude دفعة 4-5 (منفّذ)</t>
  </si>
  <si>
    <t xml:space="preserve">lessons-tab.tsx: جدول مرتّب بالموعد + إضافة/إلغاء/اجتماع + عمود المنصة بالاسم فقط؛ بانتظار validate أخضر عند المستخدم (آخر تشغيل 2026-10-08: typecheck فشل وtest 320/323 بسبب عدم نسخ ملفات دفعة 4 — حُلّ بـfix-pack-1)</t>
  </si>
  <si>
    <t xml:space="preserve">T4-02</t>
  </si>
  <si>
    <t xml:space="preserve">FR-I04</t>
  </si>
  <si>
    <t xml:space="preserve">نموذج درس حضوري</t>
  </si>
  <si>
    <t xml:space="preserve">رقم الدرس (orderIndex)، الموضوع، التاريخ، وقت البدء، المدة، القاعة (اختياري). اليوم يُشتق من التاريخ ويُعرض. → Lesson/Create.</t>
  </si>
  <si>
    <t xml:space="preserve">components/teacher/lesson-form-dialog.tsx</t>
  </si>
  <si>
    <t xml:space="preserve">Lesson/Create</t>
  </si>
  <si>
    <t xml:space="preserve">T4-03</t>
  </si>
  <si>
    <t xml:space="preserve">FR-I08</t>
  </si>
  <si>
    <t xml:space="preserve">نموذج درس أونلاين</t>
  </si>
  <si>
    <t xml:space="preserve">نفس الحقول + المنصة (Zoom/Meet/Teams/أخرى) + الرابط (http/https فقط) + تعليمات اختيارية. → Lesson/Create.</t>
  </si>
  <si>
    <t xml:space="preserve">T4-04</t>
  </si>
  <si>
    <t xml:space="preserve">FR-I10</t>
  </si>
  <si>
    <t xml:space="preserve">تعديل درس مجدول</t>
  </si>
  <si>
    <t xml:space="preserve">متاح فقط لدرس لم يبدأ وغير ملغى. → Lesson/Update.</t>
  </si>
  <si>
    <t xml:space="preserve">Lesson/Update</t>
  </si>
  <si>
    <t xml:space="preserve">Claude دفعة 5</t>
  </si>
  <si>
    <t xml:space="preserve">نفّذه المستخدم (wave1-half-claude-files.zip)؛ بانتظار validate | فُعِّل التعديل من صف الجدول: Lesson/Update يحدّث العنوان/التاريخ/الوقت/المدة ويبقي الاجتماع لو null ويتجاهل orderIndex/Room (تحقق من كود الباك اند)؛ تحقق العنوان 3..250؛ meetingUrl الفاضي يُرسل null</t>
  </si>
  <si>
    <t xml:space="preserve">T4-05</t>
  </si>
  <si>
    <t xml:space="preserve">FR-I07</t>
  </si>
  <si>
    <t xml:space="preserve">تعديل بيانات الاجتماع فقط</t>
  </si>
  <si>
    <t xml:space="preserve">إجراء سريع لدرس أونلاين: منصة/رابط/تعليمات. → Lesson/ConfigureMeeting. التحقق من الرابط.</t>
  </si>
  <si>
    <t xml:space="preserve">Lesson/ConfigureMeeting</t>
  </si>
  <si>
    <t xml:space="preserve">نفّذه Claude؛ meeting-config-dialog.tsx + meeting-config-schema.ts (+8 فحوص): نافذة مستقلة بـprops صريحة؛ وضعها بقائمة الدروس ينتظر T4-01 — بانتظار validate</t>
  </si>
  <si>
    <t xml:space="preserve">T4-06</t>
  </si>
  <si>
    <t xml:space="preserve">FR-I11</t>
  </si>
  <si>
    <t xml:space="preserve">إلغاء درس بسبب</t>
  </si>
  <si>
    <t xml:space="preserve">نافذة تأكيد + سبب اختياري. يبقى الدرس بالسجل بحالة ملغى. → Lesson/Cancel.</t>
  </si>
  <si>
    <t xml:space="preserve">components/teacher/lesson-cancel-dialog.tsx</t>
  </si>
  <si>
    <t xml:space="preserve">Lesson/Cancel</t>
  </si>
  <si>
    <t xml:space="preserve">T4-07</t>
  </si>
  <si>
    <t xml:space="preserve">عرض أخطاء التعارض/التحقق</t>
  </si>
  <si>
    <t xml:space="preserve">رسائل الباك اند (تعارض درس، تاريخ/وقت غير صالح) تظهر داخل النموذج وتمنع الحفظ.</t>
  </si>
  <si>
    <t xml:space="preserve">T4-08</t>
  </si>
  <si>
    <t xml:space="preserve">اختبارات محققات الدرس/الرابط</t>
  </si>
  <si>
    <t xml:space="preserve">isHttpUrl، اشتقاق اليوم، حدود المدة.</t>
  </si>
  <si>
    <t xml:space="preserve">components/teacher/lesson-form-dialog.test.ts</t>
  </si>
  <si>
    <t xml:space="preserve">T5-01</t>
  </si>
  <si>
    <t xml:space="preserve">FR-T10</t>
  </si>
  <si>
    <t xml:space="preserve">قائمة طلبات الحجز (معلم)</t>
  </si>
  <si>
    <t xml:space="preserve">TeacherBookings مع فلتر حالة (معلّق/مؤكد/مكتمل/مرفوض/ملغى) + بيانات الطالب والجلسة والوضع والرسوم.</t>
  </si>
  <si>
    <t xml:space="preserve">routes/_authenticated/teacher.bookings.tsx</t>
  </si>
  <si>
    <t xml:space="preserve">Booking/TeacherBookings</t>
  </si>
  <si>
    <t xml:space="preserve">Claude دفعة 3 (منفّذ)</t>
  </si>
  <si>
    <t xml:space="preserve">teacher.bookings.tsx: تبويبات (معلّق/مؤكّد/مكتمل/الكل) + أزرار قبول/رفض/إنهاء؛ lib/teacher-bookings.ts. Q-22: كود النسخة الجديدة يبدو مُصلحًا (BookingProjections.ToDto) — يلزم تأكيد حي؛ بانتظار validate أخضر عند المستخدم (آخر تشغيل 2026-10-08: typecheck فشل وtest 320/323 بسبب عدم نسخ ملفات دفعة 4 — حُلّ بـfix-pack-1)</t>
  </si>
  <si>
    <t xml:space="preserve">T5-02</t>
  </si>
  <si>
    <t xml:space="preserve">FR-T06</t>
  </si>
  <si>
    <t xml:space="preserve">قبول/رفض الطلب</t>
  </si>
  <si>
    <t xml:space="preserve">Decide {bookingId, accept, rejectionReason}. السبب مطلوب عند الرفض. إظهار رسالة الباك اند عند فشل الخصم (رصيد الطالب غير كافٍ).</t>
  </si>
  <si>
    <t xml:space="preserve">Booking/Decide</t>
  </si>
  <si>
    <t xml:space="preserve">نفّذه Claude؛ decide-booking-dialog.tsx + lib/booking-decision.ts: قبول/رفض (السبب مطلوب للرفض)؛ وضعها بقائمة الطلبات ينتظر T5-01 — بانتظار validate</t>
  </si>
  <si>
    <t xml:space="preserve">T5-03</t>
  </si>
  <si>
    <t xml:space="preserve">إنهاء حصة مؤكّدة</t>
  </si>
  <si>
    <t xml:space="preserve">Complete للحجز المؤكد (Confirmed → Completed) مع تأكيد.</t>
  </si>
  <si>
    <t xml:space="preserve">Booking/Complete</t>
  </si>
  <si>
    <t xml:space="preserve">نفّذه Claude؛ complete-booking-dialog.tsx: إنهاء حصة مؤكدة؛ وضعها بقائمة الطلبات ينتظر T5-01 — بانتظار validate</t>
  </si>
  <si>
    <t xml:space="preserve">T5-04</t>
  </si>
  <si>
    <t xml:space="preserve">طلبات إعادة الجدولة (جهة المعلم)</t>
  </si>
  <si>
    <t xml:space="preserve">TeacherRescheduleRequests + DecideReschedule {requestId, approve, rejectionReason}.</t>
  </si>
  <si>
    <t xml:space="preserve">قسم «طلبات إعادة الجدولة» + decide-reschedule-dialog.tsx (approve/rejectionReason؛ الرفض بسبب)؛ بانتظار validate أخضر عند المستخدم (آخر تشغيل 2026-10-08: typecheck فشل وtest 320/323 بسبب عدم نسخ ملفات دفعة 4 — حُلّ بـfix-pack-1)</t>
  </si>
  <si>
    <t xml:space="preserve">T5-05</t>
  </si>
  <si>
    <t xml:space="preserve">لوحة المعلم: استبدال اللوحة المعطّلة</t>
  </si>
  <si>
    <t xml:space="preserve">حذف نص «معطّل بقصد P0-1/P1-1» (قديم) وعرض عدد الطلبات المعلقة + رابط /teacher/bookings. لا تعرض أي رقم مخترع.</t>
  </si>
  <si>
    <t xml:space="preserve">routes/_authenticated/teacher.dashboard.tsx</t>
  </si>
  <si>
    <t xml:space="preserve">T5-06</t>
  </si>
  <si>
    <t xml:space="preserve">حالات الفراغ والخطأ + اختبارات</t>
  </si>
  <si>
    <t xml:space="preserve">حالة فارغة لكل تبويب حالة، ErrorState، اختبار للمنطق النقي إن وُجد.</t>
  </si>
  <si>
    <t xml:space="preserve">حالات فراغ/خطأ + test-units/teacher-bookings.test.ts؛ بانتظار validate أخضر عند المستخدم (آخر تشغيل 2026-10-08: typecheck فشل وtest 320/323 بسبب عدم نسخ ملفات دفعة 4 — حُلّ بـfix-pack-1)</t>
  </si>
  <si>
    <t xml:space="preserve">S1-01</t>
  </si>
  <si>
    <t xml:space="preserve">تحميل بيانات المعلم والتوفّر</t>
  </si>
  <si>
    <t xml:space="preserve">استخدام getTeacherPublicProfile و getTeacherAvailability الموجودتين. 404 → رسالة غير موجود.</t>
  </si>
  <si>
    <t xml:space="preserve">routes/_authenticated/book.$teacherId.tsx</t>
  </si>
  <si>
    <t xml:space="preserve">Teacher/PublicProfile, Availability</t>
  </si>
  <si>
    <t xml:space="preserve">A-claude (منفّذ)</t>
  </si>
  <si>
    <t xml:space="preserve">نفّذه Claude؛ book.$teacherId.tsx: تحميل الملف العام والتوفّر + حالات تحميل/خطأ/غير موجود — بانتظار validate</t>
  </si>
  <si>
    <t xml:space="preserve">S1-02</t>
  </si>
  <si>
    <t xml:space="preserve">منتقي الوضع/اليوم/الوقت</t>
  </si>
  <si>
    <t xml:space="preserve">الوضع (أونلاين/حضوري) حسب ما يدعمه المعلم؛ التاريخ؛ الوقت من فترات التوفّر لنفس يوم الأسبوع؛ المدة (≤ 480 د).</t>
  </si>
  <si>
    <t xml:space="preserve">components/student/booking-slot-picker.tsx</t>
  </si>
  <si>
    <t xml:space="preserve">Teacher/Availability</t>
  </si>
  <si>
    <t xml:space="preserve">نفّذه Claude؛ booking-slot-picker.tsx + lib/booking-slots.ts (أوقات متاحة حسب اليوم/الوضع/المدة) — بانتظار validate</t>
  </si>
  <si>
    <t xml:space="preserve">S1-03</t>
  </si>
  <si>
    <t xml:space="preserve">اختيار المادة والصف (IDs)</t>
  </si>
  <si>
    <t xml:space="preserve">Submit يتطلب subjectId/gradeId أرقامًا؛ الملف العام يرجع أسماء فقط → المصدر من Q-04.</t>
  </si>
  <si>
    <t xml:space="preserve">Teacher/CreateEditModal أو Constant/GetAll (Q-04)</t>
  </si>
  <si>
    <t xml:space="preserve">أُلغيت: BookingInputDto.SubjectId/GradeId اختياريان بكود الباك اند — لا حاجة لقوائم مادة/صف لإرسال الحجز</t>
  </si>
  <si>
    <t xml:space="preserve">ملغاة (غير مطلوبة)</t>
  </si>
  <si>
    <t xml:space="preserve">S1-04</t>
  </si>
  <si>
    <t xml:space="preserve">تقدير السعر وفحص الرصيد</t>
  </si>
  <si>
    <t xml:space="preserve">سعر تقديري = سعر الساعة × المدة (مع تسمية «تقديري»). getMyWallet → InsufficientBalanceAlert مع رابط /wallet. نص يوضّح متى يُخصم المبلغ (يُؤكَّد بـ Q-06).</t>
  </si>
  <si>
    <t xml:space="preserve">Wallet/MyWallet</t>
  </si>
  <si>
    <t xml:space="preserve">نفّذه Claude؛ سعر تقديري + فحص الرصيد (InsufficientBalanceAlert) + نص لحظة الخصم (Q-06 افتراض) — بانتظار validate</t>
  </si>
  <si>
    <t xml:space="preserve">S1-05</t>
  </si>
  <si>
    <t xml:space="preserve">إرسال الحجز</t>
  </si>
  <si>
    <t xml:space="preserve">Booking/Submit → assertOk → الانتقال لـ /booking/{returnId}. عرض رسائل الباك اند للفشل. invalidateBookingQueries.</t>
  </si>
  <si>
    <t xml:space="preserve">Booking/Submit</t>
  </si>
  <si>
    <t xml:space="preserve">S1-02, S1-03</t>
  </si>
  <si>
    <t xml:space="preserve">إرسال Booking/Submit بشاشة الحجز + BOOKING_FLOW_ENABLED=true؛ الباك اند يؤكد subjectId/gradeId اختياريان</t>
  </si>
  <si>
    <t xml:space="preserve">S1-06</t>
  </si>
  <si>
    <t xml:space="preserve">تفعيل زر الحجز في صفحة المعلم</t>
  </si>
  <si>
    <t xml:space="preserve">استبدال الزر المعطّل بـ Link إلى /book/$id (الزائر يُحوَّل لتسجيل الدخول). إخفاؤه لدور معلم/أدمن. حذف النص القديم «غير مفعّل بالباك اند».</t>
  </si>
  <si>
    <t xml:space="preserve">routes/teacher.$id.tsx</t>
  </si>
  <si>
    <t xml:space="preserve">نفّذه Claude؛ الكود جاهز لكن خلف BOOKING_FLOW_ENABLED=false حتى يكتمل S1-05 (S1-03/Q-04)؛ الزر المعطّل الحالي باقٍ بنصه الصادق — بانتظار validate</t>
  </si>
  <si>
    <t xml:space="preserve">S1-07</t>
  </si>
  <si>
    <t xml:space="preserve">ملاحظة الطالب والتحقق</t>
  </si>
  <si>
    <t xml:space="preserve">studentNote اختياري؛ التاريخ بالمستقبل؛ المدة ضمن الحد.</t>
  </si>
  <si>
    <t xml:space="preserve">نفّذه Claude؛ ملاحظة الطالب + تحقق (تاريخ مستقبلي، مدة 30..480، ضمن التوفّر، طول الملاحظة) — بانتظار validate</t>
  </si>
  <si>
    <t xml:space="preserve">S1-08</t>
  </si>
  <si>
    <t xml:space="preserve">اختبارات منطق الاختيار</t>
  </si>
  <si>
    <t xml:space="preserve">اختبارات نقية لتوليد الأوقات المتاحة وتقدير السعر.</t>
  </si>
  <si>
    <t xml:space="preserve">components/student/booking-slot-picker.test.ts</t>
  </si>
  <si>
    <t xml:space="preserve">نفّذه Claude؛ booking-slot-picker.test.ts (27 فحصًا لمنطق booking-slots) — بانتظار validate</t>
  </si>
  <si>
    <t xml:space="preserve">S2-01</t>
  </si>
  <si>
    <t xml:space="preserve">صفحة تفاصيل الحجز</t>
  </si>
  <si>
    <t xml:space="preserve">Student/GetBooking: المعلم، التاريخ، الوقت، المدة، الوضع، السعر، الحالة (BookingStatusBadge)، سبب الرفض/الإلغاء إن وجد.</t>
  </si>
  <si>
    <t xml:space="preserve">routes/_authenticated/booking.$id.tsx</t>
  </si>
  <si>
    <t xml:space="preserve">Student/GetBooking</t>
  </si>
  <si>
    <t xml:space="preserve">Claude دفعة 2 (منفّذ)</t>
  </si>
  <si>
    <t xml:space="preserve">booking.$id.tsx: بيانات الحجز + إشعار رفض/إلغاء بسببه؛ lib/booking-detail.ts؛ بانتظار validate أخضر عند المستخدم (آخر تشغيل 2026-10-08: typecheck فشل وtest 320/323 بسبب عدم نسخ ملفات دفعة 4 — حُلّ بـfix-pack-1)</t>
  </si>
  <si>
    <t xml:space="preserve">S2-02</t>
  </si>
  <si>
    <t xml:space="preserve">منطقة الإجراءات حسب الأهلية</t>
  </si>
  <si>
    <t xml:space="preserve">دمج: BookingPaymentCard (WP-W1) + CancelBookingDialog + RescheduleDialog (WP-S3) + RateBookingDialog (WP-S4) بحسب booking-rules.ts. الاستيراد من Stubs.</t>
  </si>
  <si>
    <t xml:space="preserve">أزرار إلغاء/إعادة جدولة/تقييم حسب booking-rules وتفتح الحوارات الموجودة. ملاحظة: الإلغاء للحجز المدفوع قبل &lt;24س يرفضه الباك اند برسالة (لم يُخفَ الزر ليرى الطالب السبب)؛ بانتظار validate أخضر عند المستخدم (آخر تشغيل 2026-10-08: typecheck فشل وtest 320/323 بسبب عدم نسخ ملفات دفعة 4 — حُلّ بـfix-pack-1)</t>
  </si>
  <si>
    <t xml:space="preserve">S2-03</t>
  </si>
  <si>
    <t xml:space="preserve">نافذة إلغاء الحجز</t>
  </si>
  <si>
    <t xml:space="preserve">سبب اختياري + تأكيد → Student/CancelBooking {bookingId, reason}. عرض رسالة سياسة الإلغاء من الباك اند عند الرفض. بعد النجاح: الحالة Cancelled وتبقى بالسجل.</t>
  </si>
  <si>
    <t xml:space="preserve">components/student/cancel-booking-dialog.tsx</t>
  </si>
  <si>
    <t xml:space="preserve">Student/CancelBooking</t>
  </si>
  <si>
    <t xml:space="preserve">نفّذه Claude؛ cancel-booking-dialog.tsx (Student/CancelBooking؛ رسالة السياسة من الباك اند) — بانتظار validate</t>
  </si>
  <si>
    <t xml:space="preserve">S2-04</t>
  </si>
  <si>
    <t xml:space="preserve">لوحتا الحجوزات المؤكدة والطلبات المعلقة</t>
  </si>
  <si>
    <t xml:space="preserve">استخراجهما من my-courses (Stubs من WP-00) + رابط لكل صف إلى /booking/$id + عرض المرفوض/الملغى كسجل (Student Access Rules).</t>
  </si>
  <si>
    <t xml:space="preserve">components/student/my-courses/confirmed-bookings-panel.tsx, components/student/my-courses/pending-requests-panel.tsx</t>
  </si>
  <si>
    <t xml:space="preserve">نفّذه Claude؛ لوحتان بروابط /booking/$id أو /lesson/$id + سجل مرفوض/ملغى (يستبعد المكرر)؛ ملف جديد my-courses/schedule-row.tsx — بانتظار validate</t>
  </si>
  <si>
    <t xml:space="preserve">S2-05</t>
  </si>
  <si>
    <t xml:space="preserve">اختبارات + حالات الخطأ</t>
  </si>
  <si>
    <t xml:space="preserve">403/404 على حجز لا يخص الطالب → رسالة وصول مرفوض؛ اختبار نقي لأي منطق جديد.</t>
  </si>
  <si>
    <t xml:space="preserve">حالات خطأ/غير موجود + test-units/booking-detail.test.ts؛ بانتظار validate أخضر عند المستخدم (آخر تشغيل 2026-10-08: typecheck فشل وtest 320/323 بسبب عدم نسخ ملفات دفعة 4 — حُلّ بـfix-pack-1)</t>
  </si>
  <si>
    <t xml:space="preserve">S3-01</t>
  </si>
  <si>
    <t xml:space="preserve">نافذة طلب إعادة الجدولة</t>
  </si>
  <si>
    <t xml:space="preserve">التاريخ المقترح + الوقت المقترح + ملاحظة → Student/RequestReschedule. تظهر فقط للحجز المؤهل.</t>
  </si>
  <si>
    <t xml:space="preserve">components/student/reschedule-dialog.tsx</t>
  </si>
  <si>
    <t xml:space="preserve">Student/RequestReschedule</t>
  </si>
  <si>
    <t xml:space="preserve">نفّذه Claude؛ reschedule-dialog.tsx (Student/RequestReschedule) — بانتظار validate</t>
  </si>
  <si>
    <t xml:space="preserve">لوحة طلبات إعادة الجدولة</t>
  </si>
  <si>
    <t xml:space="preserve">Student/MyRescheduleRequests مع شارة حالة (أسماء الحالات من Q-05) لتتبّع الطلب.</t>
  </si>
  <si>
    <t xml:space="preserve">components/student/my-courses/reschedule-requests-panel.tsx</t>
  </si>
  <si>
    <t xml:space="preserve">Student/MyRescheduleRequests</t>
  </si>
  <si>
    <t xml:space="preserve">reschedule-requests-panel.tsx + lib/reschedule-requests.ts (RescheduleStatus أُضيف لـenums.ts)؛ يلزم وصلها بـmy-courses لو لم تكن موصولة؛ بانتظار validate أخضر عند المستخدم (آخر تشغيل 2026-10-08: typecheck فشل وtest 320/323 بسبب عدم نسخ ملفات دفعة 4 — حُلّ بـfix-pack-1)</t>
  </si>
  <si>
    <t xml:space="preserve">S3-03</t>
  </si>
  <si>
    <t xml:space="preserve">أخطاء التعارض/عدم التوفّر</t>
  </si>
  <si>
    <t xml:space="preserve">عرض رسالة الباك اند ومنع الإرسال وطلب وقت آخر (Exception Flow).</t>
  </si>
  <si>
    <t xml:space="preserve">نفّذه Claude؛ أخطاء التعارض/عدم التوفّر من الباك اند تظهر داخل النافذة وتبقى مفتوحة — بانتظار validate</t>
  </si>
  <si>
    <t xml:space="preserve">S3-04</t>
  </si>
  <si>
    <t xml:space="preserve">اختبارات التحقق</t>
  </si>
  <si>
    <t xml:space="preserve">التاريخ بالمستقبل + الوقت صالح.</t>
  </si>
  <si>
    <t xml:space="preserve">components/student/reschedule-dialog.test.ts</t>
  </si>
  <si>
    <t xml:space="preserve">نفّذه Claude؛ reschedule-dialog.test.ts + lib/reschedule-validation.ts — بانتظار validate</t>
  </si>
  <si>
    <t xml:space="preserve">S4-01</t>
  </si>
  <si>
    <t xml:space="preserve">نافذة التقييم</t>
  </si>
  <si>
    <t xml:space="preserve">StarRating 1..5 + مراجعة اختيارية → Booking/Rate {bookingId, ratingValue, review}.</t>
  </si>
  <si>
    <t xml:space="preserve">components/student/rate-booking-dialog.tsx</t>
  </si>
  <si>
    <t xml:space="preserve">Booking/Rate</t>
  </si>
  <si>
    <t xml:space="preserve">نفّذه Claude؛ rate-booking-dialog.tsx (Booking/Rate)؛ S4-02/S4-03 (إخفاء الزر + teacherId) مؤجَّلتان لـJ-02 — بانتظار validate</t>
  </si>
  <si>
    <t xml:space="preserve">S4-02</t>
  </si>
  <si>
    <t xml:space="preserve">منع التقييم المكرر/غير المؤهل</t>
  </si>
  <si>
    <t xml:space="preserve">إخفاء الزر إن أمكن (حسب حقول GetBooking، Q-10) وإلا عرض رسالة الباك اند.</t>
  </si>
  <si>
    <t xml:space="preserve">جزئي: لا حقل isRated بالرد (Q-10) → الزر لكل Completed، والباك اند يرفض المكرر برسالة عامة (Failed)؛ بانتظار validate أخضر عند المستخدم (آخر تشغيل 2026-10-08: typecheck فشل وtest 320/323 بسبب عدم نسخ ملفات دفعة 4 — حُلّ بـfix-pack-1)</t>
  </si>
  <si>
    <t xml:space="preserve">S4-03</t>
  </si>
  <si>
    <t xml:space="preserve">تحديث الكاشات بعد التقييم</t>
  </si>
  <si>
    <t xml:space="preserve">invalidate: ["student-booking", id], ["backend-teacher-profile", teacherId].</t>
  </si>
  <si>
    <t xml:space="preserve">مرشّح للبدء الآن</t>
  </si>
  <si>
    <t xml:space="preserve">S4-04</t>
  </si>
  <si>
    <t xml:space="preserve">اختبارات</t>
  </si>
  <si>
    <t xml:space="preserve">حدود النجوم ومنطق الأهلية.</t>
  </si>
  <si>
    <t xml:space="preserve">components/student/rate-booking-dialog.test.ts</t>
  </si>
  <si>
    <t xml:space="preserve">نفّذه Claude؛ rate-booking-dialog.test.ts + lib/rating.ts (ملف جديد) — بانتظار validate</t>
  </si>
  <si>
    <t xml:space="preserve">S5-01</t>
  </si>
  <si>
    <t xml:space="preserve">FR-S06</t>
  </si>
  <si>
    <t xml:space="preserve">تفاصيل درس حضوري</t>
  </si>
  <si>
    <t xml:space="preserve">رقم الدرس، الموضوع، التاريخ، اليوم، وقت البدء، المدة، المعلم، الكورس/المجموعة، القاعة أو «الموقع غير متوفر».</t>
  </si>
  <si>
    <t xml:space="preserve">routes/_authenticated/lesson.$id.tsx</t>
  </si>
  <si>
    <t xml:space="preserve">Student/GetLesson</t>
  </si>
  <si>
    <t xml:space="preserve">Claude دفعة 1 (منفّذ)</t>
  </si>
  <si>
    <t xml:space="preserve">lesson.$id.tsx: حضوري (القاعة أو «الموقع غير متوفر»)؛ lib/lesson-detail.ts؛ بانتظار validate أخضر عند المستخدم (آخر تشغيل 2026-10-08: typecheck فشل وtest 320/323 بسبب عدم نسخ ملفات دفعة 4 — حُلّ بـfix-pack-1)</t>
  </si>
  <si>
    <t xml:space="preserve">S5-02</t>
  </si>
  <si>
    <t xml:space="preserve">FR-S07</t>
  </si>
  <si>
    <t xml:space="preserve">تفاصيل درس أونلاين</t>
  </si>
  <si>
    <t xml:space="preserve">المنصة + رابط الاجتماع. زر «انضمام» فقط إن canJoin وكان الرابط http/https صالحًا (rel=noopener noreferrer)؛ وإلا تفاصيل بلا زر.</t>
  </si>
  <si>
    <t xml:space="preserve">أونلاين: المنصة + تعليمات + انضمام آمن (http/https وcanJoin)؛ بانتظار validate أخضر عند المستخدم (آخر تشغيل 2026-10-08: typecheck فشل وtest 320/323 بسبب عدم نسخ ملفات دفعة 4 — حُلّ بـfix-pack-1)</t>
  </si>
  <si>
    <t xml:space="preserve">S5-03</t>
  </si>
  <si>
    <t xml:space="preserve">معالجة الوصول المرفوض</t>
  </si>
  <si>
    <t xml:space="preserve">403/404 → رسالة «غير مصرّح لك بهذا الدرس».</t>
  </si>
  <si>
    <t xml:space="preserve">خطأ/غير موجود (parsePositiveInt) + إلغاء الدرس (status=Cancelled أو السبب) + تسميات الحالة؛ بانتظار validate أخضر عند المستخدم (آخر تشغيل 2026-10-08: typecheck فشل وtest 320/323 بسبب عدم نسخ ملفات دفعة 4 — حُلّ بـfix-pack-1)</t>
  </si>
  <si>
    <t xml:space="preserve">S5-04</t>
  </si>
  <si>
    <t xml:space="preserve">تحسين صفحة الجدول</t>
  </si>
  <si>
    <t xml:space="preserve">أعمدة: النوع (حضوري/أونلاين)، القاعة أو المنصة، اليوم، زر انضمام؛ صف الدرس يربط إلى /lesson/$id وصف الحجز إلى /booking/$id.</t>
  </si>
  <si>
    <t xml:space="preserve">routes/_authenticated/schedule.tsx</t>
  </si>
  <si>
    <t xml:space="preserve">Student/Schedule</t>
  </si>
  <si>
    <t xml:space="preserve">نفّذه Claude؛ schedule.tsx: أعمدة النوع/اليوم/القاعة-المنصة + زر انضمام آمن + روابط التفاصيل — بانتظار validate</t>
  </si>
  <si>
    <t xml:space="preserve">S5-05</t>
  </si>
  <si>
    <t xml:space="preserve">فلاتر الجدول (اختياري)</t>
  </si>
  <si>
    <t xml:space="preserve">المدى الزمني/الكورس/المعلم/الوضع عبر filter الموجود في getStudentSchedule.</t>
  </si>
  <si>
    <t xml:space="preserve">نفّذه Claude؛ فلاتر مدى زمني + نوع الحصة (placeholderData يحفظ النتائج) — بانتظار validate</t>
  </si>
  <si>
    <t xml:space="preserve">S5-06</t>
  </si>
  <si>
    <t xml:space="preserve">اختبارات الانضمام والتحقق من الرابط</t>
  </si>
  <si>
    <t xml:space="preserve">حالات canJoin و isHttpUrl.</t>
  </si>
  <si>
    <t xml:space="preserve">test-units/lesson.$id.test.ts</t>
  </si>
  <si>
    <t xml:space="preserve">نفّذه Claude؛ src/test-units/lesson.$id.test.ts + lib/schedule-join.ts (joinHref/locationLabel/detailTarget) — بانتظار validate</t>
  </si>
  <si>
    <t xml:space="preserve">S6-01</t>
  </si>
  <si>
    <t xml:space="preserve">صفحة تفاصيل الكورس المسجَّل</t>
  </si>
  <si>
    <t xml:space="preserve">Student/GetCourse: معلومات الكورس + المجموعة + جدول الدروس (رقم، موضوع، تاريخ، يوم، وقت، مدة، قاعة/رابط) بقراءة فقط.</t>
  </si>
  <si>
    <t xml:space="preserve">routes/_authenticated/enrolled-course.$id.tsx</t>
  </si>
  <si>
    <t xml:space="preserve">Student/GetCourse</t>
  </si>
  <si>
    <t xml:space="preserve">enrolled-course.$id.tsx: مجموعات بأيامها (السبت أولًا) + دروس بروابط /lesson/$id؛ lib/course-detail.ts؛ بانتظار validate أخضر عند المستخدم (آخر تشغيل 2026-10-08: typecheck فشل وtest 320/323 بسبب عدم نسخ ملفات دفعة 4 — حُلّ بـfix-pack-1)</t>
  </si>
  <si>
    <t xml:space="preserve">S6-02</t>
  </si>
  <si>
    <t xml:space="preserve">لوحة «كورساتي المسجّلة» داخل كورساتي</t>
  </si>
  <si>
    <t xml:space="preserve">من activeCourses (getStudentDashboard) أو endpoint أدق حسب Q-05؛ رابط لكل كورس.</t>
  </si>
  <si>
    <t xml:space="preserve">components/student/my-courses/enrolled-courses-panel.tsx</t>
  </si>
  <si>
    <t xml:space="preserve">Student/Dashboard</t>
  </si>
  <si>
    <t xml:space="preserve">نفّذه Claude؛ enrolled-courses-panel.tsx من activeCourses (رابط /enrolled-course/$id) — بانتظار validate</t>
  </si>
  <si>
    <t xml:space="preserve">S6-03</t>
  </si>
  <si>
    <t xml:space="preserve">حالات فارغة/غير مسجَّل</t>
  </si>
  <si>
    <t xml:space="preserve">كورس بلا دروس → معلومات + رسالة فراغ؛ غير مسجَّل → وصول مرفوض.</t>
  </si>
  <si>
    <t xml:space="preserve">حالات فارغة/خطأ/معرّف غير صالح؛ بانتظار validate أخضر عند المستخدم (آخر تشغيل 2026-10-08: typecheck فشل وtest 320/323 بسبب عدم نسخ ملفات دفعة 4 — حُلّ بـfix-pack-1)</t>
  </si>
  <si>
    <t xml:space="preserve">S6-04</t>
  </si>
  <si>
    <t xml:space="preserve">منطق ترتيب الدروس/تجميعها.</t>
  </si>
  <si>
    <t xml:space="preserve">test-units/enrolled-course.$id.test.ts</t>
  </si>
  <si>
    <t xml:space="preserve">test-units/course-detail.test.ts + route-id.test.ts؛ بانتظار validate أخضر عند المستخدم (آخر تشغيل 2026-10-08: typecheck فشل وtest 320/323 بسبب عدم نسخ ملفات دفعة 4 — حُلّ بـfix-pack-1)</t>
  </si>
  <si>
    <t xml:space="preserve">S7-01</t>
  </si>
  <si>
    <t xml:space="preserve">سجل الحضور</t>
  </si>
  <si>
    <t xml:space="preserve">جدول: الدرس/الكورس، التاريخ، الحالة (حاضر/غائب/متأخر/معذور) بشارات ملوّنة.</t>
  </si>
  <si>
    <t xml:space="preserve">routes/_authenticated/attendance.tsx</t>
  </si>
  <si>
    <t xml:space="preserve">Student/Attendance</t>
  </si>
  <si>
    <t xml:space="preserve">attendance.tsx: جدول سجل الجلسات (الأحدث أولًا) + إحصاءات الباك اند؛ lib/attendance-view.ts؛ بانتظار validate أخضر عند المستخدم (آخر تشغيل 2026-10-08: typecheck فشل وtest 320/323 بسبب عدم نسخ ملفات دفعة 4 — حُلّ بـfix-pack-1)</t>
  </si>
  <si>
    <t xml:space="preserve">S7-02</t>
  </si>
  <si>
    <t xml:space="preserve">نسبة الحضور</t>
  </si>
  <si>
    <t xml:space="preserve">تُعرض فقط عند توفر سجلات كافية؛ المصدر المفضّل ما يرجعه الباك اند (Q-05) أو Student/Progress. لا تحسب رقمًا مضللًا.</t>
  </si>
  <si>
    <t xml:space="preserve">Student/Attendance, Progress</t>
  </si>
  <si>
    <t xml:space="preserve">نفّذه Claude؛ attendance-rate-card.tsx يستخدم lib/progress.ts (WP-S9)؛ السجل التفصيلي S7-01 ينتظر JSON — بانتظار validate | ملاحظة: attendance-rate-card.tsx لم تعد مستخدمة بصفحة الحضور (الأرقام الآن من Student/Attendance نفسه) — حذف مقترح بـQA-08</t>
  </si>
  <si>
    <t xml:space="preserve">S7-03</t>
  </si>
  <si>
    <t xml:space="preserve">فلاتر التاريخ والكورس</t>
  </si>
  <si>
    <t xml:space="preserve">from/to/courseId.</t>
  </si>
  <si>
    <t xml:space="preserve">فلاتر من/إلى/كورس؛ to يُرسل YYYY-MM-DD (الباك اند يضيف يومًا بنفسه)؛ الكورسات من Dashboard.activeCourses (Active فقط)؛ بانتظار validate أخضر عند المستخدم (آخر تشغيل 2026-10-08: typecheck فشل وtest 320/323 بسبب عدم نسخ ملفات دفعة 4 — حُلّ بـfix-pack-1)</t>
  </si>
  <si>
    <t xml:space="preserve">S7-04</t>
  </si>
  <si>
    <t xml:space="preserve">حالات فارغة/خطأ</t>
  </si>
  <si>
    <t xml:space="preserve">رسالة فراغ مناسبة + ErrorState مع إعادة المحاولة.</t>
  </si>
  <si>
    <t xml:space="preserve">حالات تحميل/خطأ (withLoadErrorDetail)/فراغ + تنبيه مدى مقلوب؛ بانتظار validate أخضر عند المستخدم (آخر تشغيل 2026-10-08: typecheck فشل وtest 320/323 بسبب عدم نسخ ملفات دفعة 4 — حُلّ بـfix-pack-1)</t>
  </si>
  <si>
    <t xml:space="preserve">S7-05</t>
  </si>
  <si>
    <t xml:space="preserve">تسميات الحالات وتجميع النسبة إن حُسبت محليًا.</t>
  </si>
  <si>
    <t xml:space="preserve">test-units/attendance.test.ts</t>
  </si>
  <si>
    <t xml:space="preserve">test-units/attendance-view.test.ts؛ بانتظار validate أخضر عند المستخدم (آخر تشغيل 2026-10-08: typecheck فشل وtest 320/323 بسبب عدم نسخ ملفات دفعة 4 — حُلّ بـfix-pack-1)</t>
  </si>
  <si>
    <t xml:space="preserve">S8-01</t>
  </si>
  <si>
    <t xml:space="preserve">جدول نتائج الامتحانات</t>
  </si>
  <si>
    <t xml:space="preserve">العنوان، التاريخ، الدرجة، المجموع، النسبة المحسوبة، الملاحظات.</t>
  </si>
  <si>
    <t xml:space="preserve">routes/_authenticated/exam-results.tsx</t>
  </si>
  <si>
    <t xml:space="preserve">Student/ExamResults</t>
  </si>
  <si>
    <t xml:space="preserve">exam-results.tsx: percentage أو examPercent؛ lib/exam-results.ts؛ بانتظار validate أخضر عند المستخدم (آخر تشغيل 2026-10-08: typecheck فشل وtest 320/323 بسبب عدم نسخ ملفات دفعة 4 — حُلّ بـfix-pack-1)</t>
  </si>
  <si>
    <t xml:space="preserve">S8-02</t>
  </si>
  <si>
    <t xml:space="preserve">فلتر الكورس</t>
  </si>
  <si>
    <t xml:space="preserve">courseId اختياري.</t>
  </si>
  <si>
    <t xml:space="preserve">فلتر الكورس؛ بانتظار validate أخضر عند المستخدم (آخر تشغيل 2026-10-08: typecheck فشل وtest 320/323 بسبب عدم نسخ ملفات دفعة 4 — حُلّ بـfix-pack-1)</t>
  </si>
  <si>
    <t xml:space="preserve">S8-03</t>
  </si>
  <si>
    <t xml:space="preserve">«لا توجد نتائج امتحانات متاحة» + ErrorState.</t>
  </si>
  <si>
    <t xml:space="preserve">حالات تحميل/خطأ/فراغ + test-units/exam-results-view.test.ts؛ بانتظار validate أخضر عند المستخدم (آخر تشغيل 2026-10-08: typecheck فشل وtest 320/323 بسبب عدم نسخ ملفات دفعة 4 — حُلّ بـfix-pack-1)</t>
  </si>
  <si>
    <t xml:space="preserve">S8-04</t>
  </si>
  <si>
    <t xml:space="preserve">اختبار حساب النسبة</t>
  </si>
  <si>
    <t xml:space="preserve">total=0 لا يقسم على صفر.</t>
  </si>
  <si>
    <t xml:space="preserve">test-units/exam-results.test.ts</t>
  </si>
  <si>
    <t xml:space="preserve">نفّذه Claude؛ lib/exam-percent.ts + src/test-units/exam-results.test.ts — بانتظار validate</t>
  </si>
  <si>
    <t xml:space="preserve">S9-01</t>
  </si>
  <si>
    <t xml:space="preserve">مؤشرات التقدم</t>
  </si>
  <si>
    <t xml:space="preserve">Student/Progress: نسبة الحضور، متوسط الامتحانات، عدد الجلسات، عدد الامتحانات (StudentProgressDto معروف).</t>
  </si>
  <si>
    <t xml:space="preserve">routes/_authenticated/progress.tsx</t>
  </si>
  <si>
    <t xml:space="preserve">Student/Progress</t>
  </si>
  <si>
    <t xml:space="preserve">نفّذه المستخدم؛ progress.tsx حلّ محل stub WP-00؛ النوع من الكود (يُتحقق بـJ-04)</t>
  </si>
  <si>
    <t xml:space="preserve">S9-02</t>
  </si>
  <si>
    <t xml:space="preserve">القيم غير المتاحة</t>
  </si>
  <si>
    <t xml:space="preserve">null → «—» وشرح (لا سجلات كافية) بدل 0%.</t>
  </si>
  <si>
    <t xml:space="preserve">S9-03</t>
  </si>
  <si>
    <t xml:space="preserve">شرائط/عدّادات التقدم</t>
  </si>
  <si>
    <t xml:space="preserve">استخدام Progress + StatGrid الموجودين في kit.</t>
  </si>
  <si>
    <t xml:space="preserve">S9-04</t>
  </si>
  <si>
    <t xml:space="preserve">حالات تحميل/خطأ</t>
  </si>
  <si>
    <t xml:space="preserve">ErrorState/LoadingState الموحدة.</t>
  </si>
  <si>
    <t xml:space="preserve">S9-05</t>
  </si>
  <si>
    <t xml:space="preserve">تنسيق القيم الفارغة.</t>
  </si>
  <si>
    <t xml:space="preserve">test-units/progress.test.ts</t>
  </si>
  <si>
    <t xml:space="preserve">P1-01</t>
  </si>
  <si>
    <t xml:space="preserve">FR-P11</t>
  </si>
  <si>
    <t xml:space="preserve">عرض عدد الإشعارات غير المقروءة</t>
  </si>
  <si>
    <t xml:space="preserve">StatGrid في تقرير ولي الأمر: unreadNotificationsCount للابن النشط + إجمالي الأبناء (يُوثَّق بوضوح بالواجهة أن العدد مأخوذ من كل ابن، Q-11). صفر عند عدم الوجود.</t>
  </si>
  <si>
    <t xml:space="preserve">routes/_authenticated/parent.report.tsx</t>
  </si>
  <si>
    <t xml:space="preserve">Parent/MyChildren</t>
  </si>
  <si>
    <t xml:space="preserve">نفّذه المستخدم (wp-p1-w2-files.zip)؛ بانتظار npm run validate محليًا</t>
  </si>
  <si>
    <t xml:space="preserve">P1-02</t>
  </si>
  <si>
    <t xml:space="preserve">فشل الجلب لا يكسر اللوحة</t>
  </si>
  <si>
    <t xml:space="preserve">Exception Flow: عرض اللوحة بدون العدد + تنبيه غير حاجب.</t>
  </si>
  <si>
    <t xml:space="preserve">P1-03</t>
  </si>
  <si>
    <t xml:space="preserve">FR-P08</t>
  </si>
  <si>
    <t xml:space="preserve">معالجة رفض الوصول (403)</t>
  </si>
  <si>
    <t xml:space="preserve">أخطاء ChildAttendance/ChildExamResults لابن غير مرتبط تظهر كـ«غير مصرّح»؛ اختيار الابن من getMyChildren فقط، بدون إدخال يدوي لـ studentId.</t>
  </si>
  <si>
    <t xml:space="preserve">Parent/ChildAttendance, ChildExamResults</t>
  </si>
  <si>
    <t xml:space="preserve">P1-04</t>
  </si>
  <si>
    <t xml:space="preserve">بانر «قراءة فقط»</t>
  </si>
  <si>
    <t xml:space="preserve">FR-P12: توضيح أن ولي الأمر لا يعدّل بيانات أكاديمية.</t>
  </si>
  <si>
    <t xml:space="preserve">P1-05</t>
  </si>
  <si>
    <t xml:space="preserve">عمود حالة الحضور</t>
  </si>
  <si>
    <t xml:space="preserve">عرض status (حاضر/غائب/متأخر/معذور) بجدول الحضور (موجود بالـDTO وغير معروض).</t>
  </si>
  <si>
    <t xml:space="preserve">Parent/ChildAttendance</t>
  </si>
  <si>
    <t xml:space="preserve">P1-06</t>
  </si>
  <si>
    <t xml:space="preserve">عدد غير المقروء لكل ابن بصفحة الإعدادات</t>
  </si>
  <si>
    <t xml:space="preserve">إضافته للأبناء المرتبطين.</t>
  </si>
  <si>
    <t xml:space="preserve">routes/_authenticated/parent.settings.tsx</t>
  </si>
  <si>
    <t xml:space="preserve">P1-07</t>
  </si>
  <si>
    <t xml:space="preserve">تجميع العدد وتسميات الحالات.</t>
  </si>
  <si>
    <t xml:space="preserve">test-units/parent.report.test.ts</t>
  </si>
  <si>
    <t xml:space="preserve">W1-01</t>
  </si>
  <si>
    <t xml:space="preserve">بطاقة حالة دفع الحجز</t>
  </si>
  <si>
    <t xml:space="preserve">Student/BookingPayment: حالة الدفع/المبلغ/تاريخ الخصم/ربط بحركة المحفظة. شكل الرد من Q-05.</t>
  </si>
  <si>
    <t xml:space="preserve">components/student/booking-payment-card.tsx</t>
  </si>
  <si>
    <t xml:space="preserve">Student/BookingPayment</t>
  </si>
  <si>
    <t xml:space="preserve">booking-payment-card.tsx: السعر/حالة الدفع/تاريخه/الرصيد. BookingPaymentStatus 1/2/3 مؤكَّدة من كود الباك اند؛ بانتظار validate أخضر عند المستخدم (آخر تشغيل 2026-10-08: typecheck فشل وtest 320/323 بسبب عدم نسخ ملفات دفعة 4 — حُلّ بـfix-pack-1)</t>
  </si>
  <si>
    <t xml:space="preserve">W1-02</t>
  </si>
  <si>
    <t xml:space="preserve">تنبيه الرصيد غير الكافي</t>
  </si>
  <si>
    <t xml:space="preserve">InsufficientBalanceAlert {required, balance} + CTA إلى /wallet (يستهلكه WP-S1/S2).</t>
  </si>
  <si>
    <t xml:space="preserve">components/wallet/insufficient-balance-alert.tsx</t>
  </si>
  <si>
    <t xml:space="preserve">W1-03</t>
  </si>
  <si>
    <t xml:space="preserve">وضوح حركات الخصم في سجل المحفظة</t>
  </si>
  <si>
    <t xml:space="preserve">عرض الوصف + شارة الاتجاه والنوع «خصم اشتراك/حجز»؛ بدون اختراع ربط غير موجود بالـ DTO.</t>
  </si>
  <si>
    <t xml:space="preserve">components/wallet/wallet-balance-panel.tsx</t>
  </si>
  <si>
    <t xml:space="preserve">Wallet/GetTransactionHistory</t>
  </si>
  <si>
    <t xml:space="preserve">W1-04</t>
  </si>
  <si>
    <t xml:space="preserve">شرح الخصم بصفحة المحفظة</t>
  </si>
  <si>
    <t xml:space="preserve">نص توضيحي صادق عن متى يُخصم المبلغ (حسب Q-06/Q-19) + رابط لطلبات الحجز.</t>
  </si>
  <si>
    <t xml:space="preserve">routes/_authenticated/wallet.tsx</t>
  </si>
  <si>
    <t xml:space="preserve">W1-05</t>
  </si>
  <si>
    <t xml:space="preserve">حالات البطاقة (مدفوع/معلّق/رصيد غير كافٍ).</t>
  </si>
  <si>
    <t xml:space="preserve">components/student/booking-payment-card.test.ts</t>
  </si>
  <si>
    <t xml:space="preserve">تنبيه الرصيد عبر showTopUpAlert (needsTopUp + غير مدفوع + الحجز ليس مرفوضًا/ملغى) + اختباراته؛ بانتظار validate أخضر عند المستخدم (آخر تشغيل 2026-10-08: typecheck فشل وtest 320/323 بسبب عدم نسخ ملفات دفعة 4 — حُلّ بـfix-pack-1)</t>
  </si>
  <si>
    <t xml:space="preserve">W2-01</t>
  </si>
  <si>
    <t xml:space="preserve">لوحة «آخر إيداعات الأرباح»</t>
  </si>
  <si>
    <t xml:space="preserve">من آخر 50 حركة (getTransactionHistory) → فلترة type=InstructorCredit محليًا مع تسمية صريحة «من آخر 50 حركة» (لا ملخصات كاذبة).</t>
  </si>
  <si>
    <t xml:space="preserve">routes/_authenticated/teacher.earnings.tsx</t>
  </si>
  <si>
    <t xml:space="preserve">W2-02</t>
  </si>
  <si>
    <t xml:space="preserve">توضيح العمولة</t>
  </si>
  <si>
    <t xml:space="preserve">نص: المبلغ المودَع = الرسوم − عمولة المنصة (SRS FR-W03b). لا تعرض نسبة أو رقمًا غير مصدره الباك اند (Q-12).</t>
  </si>
  <si>
    <t xml:space="preserve">W2-03</t>
  </si>
  <si>
    <t xml:space="preserve">حالات طلبات السحب</t>
  </si>
  <si>
    <t xml:space="preserve">توضيح مراحل السحب (قيد المراجعة → موافق → مكتمل) في الواجهة دون endpoint جديد.</t>
  </si>
  <si>
    <t xml:space="preserve">W2-04</t>
  </si>
  <si>
    <t xml:space="preserve">فلترة الإيداعات.</t>
  </si>
  <si>
    <t xml:space="preserve">test-units/teacher.earnings.test.ts</t>
  </si>
  <si>
    <t xml:space="preserve">QA-01</t>
  </si>
  <si>
    <t xml:space="preserve">npm run validate أخضر + routeTree</t>
  </si>
  <si>
    <t xml:space="preserve">typecheck + lint + format:check + test. إعادة توليد routeTree إن لزم (هذا الـ WP وWP-00 فقط).</t>
  </si>
  <si>
    <t xml:space="preserve">routeTree.gen.ts</t>
  </si>
  <si>
    <t xml:space="preserve">كل Wave 1</t>
  </si>
  <si>
    <t xml:space="preserve">Wave 2 (بعد Wave 1)</t>
  </si>
  <si>
    <t xml:space="preserve">QA-02</t>
  </si>
  <si>
    <t xml:space="preserve">اختبارات e2e (Playwright)</t>
  </si>
  <si>
    <t xml:space="preserve">مسارات: معلم (كورس→مجموعة→درس) | طالب (حجز→قبول المعلم→إلغاء/إعادة جدولة/تقييم) | ولي أمر. يتطلب حسابات اختبار (Q-17).</t>
  </si>
  <si>
    <t xml:space="preserve">e2e/*.spec.ts</t>
  </si>
  <si>
    <t xml:space="preserve">QA-03</t>
  </si>
  <si>
    <t xml:space="preserve">UAT</t>
  </si>
  <si>
    <t xml:space="preserve">تنفيذ UAT كاملًا</t>
  </si>
  <si>
    <t xml:space="preserve">تعبئة نتائج ورقة UAT (نجح/فشل) وفتح bugs للفاشل.</t>
  </si>
  <si>
    <t xml:space="preserve">QA-04</t>
  </si>
  <si>
    <t xml:space="preserve">UX</t>
  </si>
  <si>
    <t xml:space="preserve">فحص RTL/موبايل/Dark</t>
  </si>
  <si>
    <t xml:space="preserve">كل الصفحات الجديدة عربي/إنجليزي، شاشة 360px، الوضع الداكن.</t>
  </si>
  <si>
    <t xml:space="preserve">QA-05</t>
  </si>
  <si>
    <t xml:space="preserve">فحص الوصولية الأساسي</t>
  </si>
  <si>
    <t xml:space="preserve">labels، تركيز لوحة المفاتيح بالنوافذ، aria لحالات الخطأ.</t>
  </si>
  <si>
    <t xml:space="preserve">QA-06</t>
  </si>
  <si>
    <t xml:space="preserve">Docs</t>
  </si>
  <si>
    <t xml:space="preserve">تحديث README/CHANGELOG/ATLAS</t>
  </si>
  <si>
    <t xml:space="preserve">كما تُلزم CLAUDE.md: تحديث الخريطة بنفس PR + جدول حالة الصفحات.</t>
  </si>
  <si>
    <t xml:space="preserve">README.md, CHANGELOG.md, PROJECT-ATLAS.md</t>
  </si>
  <si>
    <t xml:space="preserve">QA-07</t>
  </si>
  <si>
    <t xml:space="preserve">إعادة تدقيق الجاهزية</t>
  </si>
  <si>
    <t xml:space="preserve">حساب النسبة الجديدة من FR_Matrix وإصدار تقرير مقارنة مع 36.7%.</t>
  </si>
  <si>
    <t xml:space="preserve">QA-08</t>
  </si>
  <si>
    <t xml:space="preserve">Cleanup</t>
  </si>
  <si>
    <t xml:space="preserve">تنظيف النصوص القديمة وبقايا الـ stubs</t>
  </si>
  <si>
    <t xml:space="preserve">البحث عن: «قيد البناء»، «P0-1»، «P1-1»، «غير مفعّل بعد بالباك اند» وإزالة ما لم يعد صحيحًا.</t>
  </si>
  <si>
    <t xml:space="preserve">QA-09</t>
  </si>
  <si>
    <t xml:space="preserve">Security</t>
  </si>
  <si>
    <t xml:space="preserve">مراجعة أمنية للواجهات الجديدة</t>
  </si>
  <si>
    <t xml:space="preserve">روابط الاجتماع http/https فقط، لا dangerouslySetInnerHTML، لا تسريب بيانات طلاب خارج الحقول المسموحة، الاعتماد على الباك اند كحد أمان.</t>
  </si>
  <si>
    <t xml:space="preserve">00-21</t>
  </si>
  <si>
    <t xml:space="preserve">ملف pending-json.ts (النوع المؤقت)</t>
  </si>
  <si>
    <t xml:space="preserve">export type PendingResponse = { id?: number } &amp; Record&lt;string, unknown&gt; — تُستخدم لكل رد غير موثّق بالـSwagger. كل استخدام يحمل تعليق // PENDING-JSON (WP-J). ممنوع تخمين حقول.</t>
  </si>
  <si>
    <t xml:space="preserve">integrations/backend/pending-json.ts</t>
  </si>
  <si>
    <t xml:space="preserve">J-01</t>
  </si>
  <si>
    <t xml:space="preserve">Data</t>
  </si>
  <si>
    <t xml:space="preserve">استلام عينات JSON (Booking: MyBookings, TeacherBookings, TeacherRescheduleRequests)</t>
  </si>
  <si>
    <t xml:space="preserve">المستخدم يلصق ردود Try it out → يُعرَّف BookingRow/TeacherBookingRow/TeacherRescheduleRequestRow بدل PendingResponse.</t>
  </si>
  <si>
    <t xml:space="preserve">Booking/MyBookings, TeacherBookings, TeacherRescheduleRequests</t>
  </si>
  <si>
    <t xml:space="preserve">عينات المستخدم</t>
  </si>
  <si>
    <t xml:space="preserve">WJ</t>
  </si>
  <si>
    <t xml:space="preserve">أنواع مأخوذة من DTOs كود الباك اند (Acadimia-main) — ليست من تشغيل حي؛ مدموجة بملفات bookings/student/courses/lessons.ts</t>
  </si>
  <si>
    <t xml:space="preserve">J-02</t>
  </si>
  <si>
    <t xml:space="preserve">أنواع حجز الطالب (GetBooking, BookingPayment, MyRescheduleRequests)</t>
  </si>
  <si>
    <t xml:space="preserve">تعريف StudentBookingDetail/StudentBookingPayment/StudentRescheduleRequest + حسم Q-10 (isRated) وأسماء حالات إعادة الجدولة.</t>
  </si>
  <si>
    <t xml:space="preserve">integrations/backend/student.ts, lib/enums.ts</t>
  </si>
  <si>
    <t xml:space="preserve">Student/GetBooking, BookingPayment, MyRescheduleRequests</t>
  </si>
  <si>
    <t xml:space="preserve">J-03</t>
  </si>
  <si>
    <t xml:space="preserve">أنواع التعلّم (GetLesson, GetCourse)</t>
  </si>
  <si>
    <t xml:space="preserve">StudentLessonDetail/StudentCourseDetail.</t>
  </si>
  <si>
    <t xml:space="preserve">integrations/backend/student.ts</t>
  </si>
  <si>
    <t xml:space="preserve">Student/GetLesson, GetCourse</t>
  </si>
  <si>
    <t xml:space="preserve">J-04</t>
  </si>
  <si>
    <t xml:space="preserve">أنواع الأكاديمي (Attendance, ExamResults) + التحقق من Progress</t>
  </si>
  <si>
    <t xml:space="preserve">StudentAttendanceRow/StudentExamResultRow، ومطابقة StudentProgressDto مع الرد الحي.</t>
  </si>
  <si>
    <t xml:space="preserve">Student/Attendance, ExamResults, Progress</t>
  </si>
  <si>
    <t xml:space="preserve">J-05</t>
  </si>
  <si>
    <t xml:space="preserve">أنواع الكورسات (GetMineById, GetAll للمعلم, GetGroupStudents) + Q-01/Q-02/Q-03</t>
  </si>
  <si>
    <t xml:space="preserve">TeacherCourseDetail (مع groupId)/GroupStudentRow؛ حسم: هل GetAll يفلتر حسب المعلم؟ من أين groupId؟ هل teacherId مطلوب؟</t>
  </si>
  <si>
    <t xml:space="preserve">integrations/backend/courses.ts</t>
  </si>
  <si>
    <t xml:space="preserve">Course/GetMineById, GetAll, GetGroupStudents</t>
  </si>
  <si>
    <t xml:space="preserve">عينات المستخدم + إجابات Q</t>
  </si>
  <si>
    <t xml:space="preserve">J-06</t>
  </si>
  <si>
    <t xml:space="preserve">أنواع الدروس + مصادر المواد/الصفوف (Q-04)</t>
  </si>
  <si>
    <t xml:space="preserve">LessonRow من GetSchedule؛ وتحديد المصدر الفعلي لـsubjectId/gradeId/categoryId (Teacher/CreateEditModal أم Constant/GetAll) وتعريف LookupOption.</t>
  </si>
  <si>
    <t xml:space="preserve">integrations/backend/lessons.ts, integrations/backend/teachers.ts</t>
  </si>
  <si>
    <t xml:space="preserve">Lesson/GetSchedule, Teacher/CreateEditModal, Constant/GetAll</t>
  </si>
  <si>
    <t xml:space="preserve">عينات المستخدم + Q-04</t>
  </si>
  <si>
    <t xml:space="preserve">J-07</t>
  </si>
  <si>
    <t xml:space="preserve">تحديث التتبع بعد J-01..J-06</t>
  </si>
  <si>
    <t xml:space="preserve">فتح JSON-dependent tasks (عمود «يعتمد على JSON؟») في Wave 1 وتحويل بوابتها إلى «جاهز».</t>
  </si>
  <si>
    <t xml:space="preserve">J-01..J-06</t>
  </si>
  <si>
    <t xml:space="preserve">مصفوفة المتطلبات (FR) والتتبّع</t>
  </si>
  <si>
    <t xml:space="preserve">الأساس = تقرير جاهزية الفرونت (30 FR) + 7 FRs داعمة من SRS. الحالة الحالية محسوبة من Tasks وUAT: «جاهز» تتطلب اكتمال كل المهام ونجاح كل بنود UAT.</t>
  </si>
  <si>
    <t xml:space="preserve">FR</t>
  </si>
  <si>
    <t xml:space="preserve">العنوان (EN)</t>
  </si>
  <si>
    <t xml:space="preserve">العنوان (AR)</t>
  </si>
  <si>
    <t xml:space="preserve">الوحدة (SRS)</t>
  </si>
  <si>
    <t xml:space="preserve">الدور</t>
  </si>
  <si>
    <t xml:space="preserve">أولوية SRS</t>
  </si>
  <si>
    <t xml:space="preserve">حالة التقرير (الأساس)</t>
  </si>
  <si>
    <t xml:space="preserve">تفاصيل التقرير</t>
  </si>
  <si>
    <t xml:space="preserve">ضمن الـ30؟</t>
  </si>
  <si>
    <t xml:space="preserve">مهام (كلي)</t>
  </si>
  <si>
    <t xml:space="preserve">UAT كلي</t>
  </si>
  <si>
    <t xml:space="preserve">UAT نجح</t>
  </si>
  <si>
    <t xml:space="preserve">UAT فشل</t>
  </si>
  <si>
    <t xml:space="preserve">الحالة الحالية (محسوبة)</t>
  </si>
  <si>
    <t xml:space="preserve">Configure In-Person Student Group</t>
  </si>
  <si>
    <t xml:space="preserve">إعداد مجموعة طلاب حضورية</t>
  </si>
  <si>
    <t xml:space="preserve">Instructor Course &amp; Lesson Mgmt</t>
  </si>
  <si>
    <t xml:space="preserve">معلم</t>
  </si>
  <si>
    <t xml:space="preserve">Must</t>
  </si>
  <si>
    <t xml:space="preserve">غير جاهز</t>
  </si>
  <si>
    <t xml:space="preserve">لا توجد واجهة للمعلم لإعداد مجموعة حضورية وجدولها</t>
  </si>
  <si>
    <t xml:space="preserve">View In-Person Group Students</t>
  </si>
  <si>
    <t xml:space="preserve">عرض طلاب المجموعة</t>
  </si>
  <si>
    <t xml:space="preserve">لا توجد صفحة تعرض طلاب المجموعة للمعلم</t>
  </si>
  <si>
    <t xml:space="preserve">Create/Schedule In-Person Lessons</t>
  </si>
  <si>
    <t xml:space="preserve">إنشاء وجدولة دروس حضورية</t>
  </si>
  <si>
    <t xml:space="preserve">lessons.ts يحتوي API فقط بدون واجهة إنشاء/جدولة</t>
  </si>
  <si>
    <t xml:space="preserve">Configure Online Course Group</t>
  </si>
  <si>
    <t xml:space="preserve">إعداد مجموعة كورس أونلاين</t>
  </si>
  <si>
    <t xml:space="preserve">لا توجد واجهة للمعلم لإعداد المجموعة الإلكترونية</t>
  </si>
  <si>
    <t xml:space="preserve">Create/Schedule Online Lessons</t>
  </si>
  <si>
    <t xml:space="preserve">إنشاء وجدولة دروس أونلاين</t>
  </si>
  <si>
    <t xml:space="preserve">API موجود في lessons.ts بدون واجهة للمعلم</t>
  </si>
  <si>
    <t xml:space="preserve">Process Booking Payment</t>
  </si>
  <si>
    <t xml:space="preserve">معالجة دفع الحجز</t>
  </si>
  <si>
    <t xml:space="preserve">Teacher Discovery &amp; Booking</t>
  </si>
  <si>
    <t xml:space="preserve">طالب/نظام</t>
  </si>
  <si>
    <t xml:space="preserve">لا توجد شاشة حجز؛ زر الحجز في صفحة المعلم معطّل</t>
  </si>
  <si>
    <t xml:space="preserve">WP-S1, WP-T5</t>
  </si>
  <si>
    <t xml:space="preserve">Rate Teacher After Completed Session</t>
  </si>
  <si>
    <t xml:space="preserve">تقييم المعلم بعد الجلسة</t>
  </si>
  <si>
    <t xml:space="preserve">طالب</t>
  </si>
  <si>
    <t xml:space="preserve">Should</t>
  </si>
  <si>
    <t xml:space="preserve">rateBooking() موجود API فقط بدون UI للتقييم</t>
  </si>
  <si>
    <t xml:space="preserve">Deduct Enrollment Fee from Student Wallet</t>
  </si>
  <si>
    <t xml:space="preserve">خصم رسوم التسجيل من محفظة الطالب</t>
  </si>
  <si>
    <t xml:space="preserve">Wallet Management</t>
  </si>
  <si>
    <t xml:space="preserve">نظام</t>
  </si>
  <si>
    <t xml:space="preserve">صفحة المحفظة تعرض الرصيد لكن لا توجد واجهة خصم/تسجيل</t>
  </si>
  <si>
    <t xml:space="preserve">Credit Instructor Wallet After Commission</t>
  </si>
  <si>
    <t xml:space="preserve">إيداع أرباح المعلم بعد العمولة</t>
  </si>
  <si>
    <t xml:space="preserve">واجهة أرباح المعلم موجودة لكن عملية الخصم/الإيداع في الباك اند</t>
  </si>
  <si>
    <t xml:space="preserve">FR-P04</t>
  </si>
  <si>
    <t xml:space="preserve">View Student Attendance</t>
  </si>
  <si>
    <t xml:space="preserve">عرض حضور الطالب (ولي أمر)</t>
  </si>
  <si>
    <t xml:space="preserve">Parent Academic Monitoring</t>
  </si>
  <si>
    <t xml:space="preserve">ولي أمر</t>
  </si>
  <si>
    <t xml:space="preserve">جاهز</t>
  </si>
  <si>
    <t xml:space="preserve">parent.report.tsx يعرض سجل حضور الطالب</t>
  </si>
  <si>
    <t xml:space="preserve">FR-P05</t>
  </si>
  <si>
    <t xml:space="preserve">View Student Examination Results</t>
  </si>
  <si>
    <t xml:space="preserve">عرض نتائج الامتحانات (ولي أمر)</t>
  </si>
  <si>
    <t xml:space="preserve">parent.report.tsx يعرض نتائج الامتحانات</t>
  </si>
  <si>
    <t xml:space="preserve">FR-P06</t>
  </si>
  <si>
    <t xml:space="preserve">Calculate Student Attendance Rate</t>
  </si>
  <si>
    <t xml:space="preserve">احتساب نسبة الحضور</t>
  </si>
  <si>
    <t xml:space="preserve">النسبة تظهر في تقرير الابن</t>
  </si>
  <si>
    <t xml:space="preserve">Restrict Parent Access to Linked Students</t>
  </si>
  <si>
    <t xml:space="preserve">تقييد وصول ولي الأمر للأبناء المرتبطين</t>
  </si>
  <si>
    <t xml:space="preserve">مدعومة: تعتمد على getMyChildren والباك اند يتولى التحقق (يُصنَّف جزئيًا لتطابق ملخص التقرير 11/6/13)</t>
  </si>
  <si>
    <t xml:space="preserve">Display Parent Notifications</t>
  </si>
  <si>
    <t xml:space="preserve">عرض إشعارات ولي الأمر</t>
  </si>
  <si>
    <t xml:space="preserve">unreadNotificationsCount موجود لكن لا يُعرض</t>
  </si>
  <si>
    <t xml:space="preserve">FR-P13</t>
  </si>
  <si>
    <t xml:space="preserve">Display Student Name and Grade</t>
  </si>
  <si>
    <t xml:space="preserve">عرض اسم وصف الطالب</t>
  </si>
  <si>
    <t xml:space="preserve">parent.settings/report يعرضان الاسم والصف</t>
  </si>
  <si>
    <t xml:space="preserve">FR-S01</t>
  </si>
  <si>
    <t xml:space="preserve">View Student Dashboard</t>
  </si>
  <si>
    <t xml:space="preserve">لوحة الطالب</t>
  </si>
  <si>
    <t xml:space="preserve">Student Dashboard, Learning &amp; Booking</t>
  </si>
  <si>
    <t xml:space="preserve">dashboard مربوط بـ getStudentDashboard()</t>
  </si>
  <si>
    <t xml:space="preserve">FR-S02</t>
  </si>
  <si>
    <t xml:space="preserve">View Booking Requests</t>
  </si>
  <si>
    <t xml:space="preserve">عرض طلبات الحجز</t>
  </si>
  <si>
    <t xml:space="preserve">/my-courses يعرض الطلبات بانتظار الموافقة</t>
  </si>
  <si>
    <t xml:space="preserve">FR-S03</t>
  </si>
  <si>
    <t xml:space="preserve">View Booking Status</t>
  </si>
  <si>
    <t xml:space="preserve">عرض حالة الحجز</t>
  </si>
  <si>
    <t xml:space="preserve">حالة الطلب تظهر في /my-courses</t>
  </si>
  <si>
    <t xml:space="preserve">FR-S04</t>
  </si>
  <si>
    <t xml:space="preserve">View Confirmed Bookings</t>
  </si>
  <si>
    <t xml:space="preserve">عرض الحجوزات المؤكدة</t>
  </si>
  <si>
    <t xml:space="preserve">الحجوزات المؤكدة تظهر في /my-courses</t>
  </si>
  <si>
    <t xml:space="preserve">FR-S05</t>
  </si>
  <si>
    <t xml:space="preserve">View Student Schedule</t>
  </si>
  <si>
    <t xml:space="preserve">جدول الطالب</t>
  </si>
  <si>
    <t xml:space="preserve">/schedule يعرض جدول الطالب</t>
  </si>
  <si>
    <t xml:space="preserve">View In-Person Lesson Information</t>
  </si>
  <si>
    <t xml:space="preserve">الجدول يعرض بيانات عامة لكن ينقصه تفاصيل القاعة</t>
  </si>
  <si>
    <t xml:space="preserve">View Online Lesson Information</t>
  </si>
  <si>
    <t xml:space="preserve">الـ API يحتوي Platform/URL لكن لا تُعرض بالجدول الحالي</t>
  </si>
  <si>
    <t xml:space="preserve">View Course and Lesson Details</t>
  </si>
  <si>
    <t xml:space="preserve">تفاصيل الكورس والدروس</t>
  </si>
  <si>
    <t xml:space="preserve">لا توجد شاشة تفاصيل درس/كورس متكاملة</t>
  </si>
  <si>
    <t xml:space="preserve">لا توجد واجهة طالب لعرض سجل الحضور</t>
  </si>
  <si>
    <t xml:space="preserve">View Examination Results</t>
  </si>
  <si>
    <t xml:space="preserve">نتائج الامتحانات (طالب)</t>
  </si>
  <si>
    <t xml:space="preserve">لا توجد واجهة طالب لعرض نتائج الامتحانات</t>
  </si>
  <si>
    <t xml:space="preserve">View Academic Progress</t>
  </si>
  <si>
    <t xml:space="preserve">التقدم الأكاديمي</t>
  </si>
  <si>
    <t xml:space="preserve">لا توجد واجهة تعرض تفاصيل التقدم الأكاديمي</t>
  </si>
  <si>
    <t xml:space="preserve">FR-S12</t>
  </si>
  <si>
    <t xml:space="preserve">View Student Notifications</t>
  </si>
  <si>
    <t xml:space="preserve">إشعارات الطالب</t>
  </si>
  <si>
    <t xml:space="preserve">/notifications يعرض التنبيهات مع إمكانية القراءة</t>
  </si>
  <si>
    <t xml:space="preserve">FR-S13</t>
  </si>
  <si>
    <t xml:space="preserve">View Student Wallet Information</t>
  </si>
  <si>
    <t xml:space="preserve">معلومات محفظة الطالب</t>
  </si>
  <si>
    <t xml:space="preserve">/wallet يعرض الرصيد وسجل العمليات</t>
  </si>
  <si>
    <t xml:space="preserve">Cancel Student Booking</t>
  </si>
  <si>
    <t xml:space="preserve">إلغاء حجز الطالب</t>
  </si>
  <si>
    <t xml:space="preserve">cancelBooking() موجود API فقط وبلا واجهة</t>
  </si>
  <si>
    <t xml:space="preserve">Request Booking Rescheduling</t>
  </si>
  <si>
    <t xml:space="preserve">طلب إعادة جدولة</t>
  </si>
  <si>
    <t xml:space="preserve">لا توجد واجهة فعلية لطلب إعادة الجدولة</t>
  </si>
  <si>
    <t xml:space="preserve">WP-S3, WP-T5</t>
  </si>
  <si>
    <t xml:space="preserve">Create In-Person Course</t>
  </si>
  <si>
    <t xml:space="preserve">إنشاء كورس حضوري</t>
  </si>
  <si>
    <t xml:space="preserve">غير مغطى بالتقرير</t>
  </si>
  <si>
    <t xml:space="preserve">خارج الـ30. ملاحظة من الكود: teacher.courses.tsx حاليًا placeholder «قيد التطوير». مطلوب كشرط مسبق لـ FR-I02..I08</t>
  </si>
  <si>
    <t xml:space="preserve">لا (داعم)</t>
  </si>
  <si>
    <t xml:space="preserve">Create Online Course</t>
  </si>
  <si>
    <t xml:space="preserve">إنشاء كورس أونلاين</t>
  </si>
  <si>
    <t xml:space="preserve">خارج الـ30. شرط مسبق لـ FR-I06/I08</t>
  </si>
  <si>
    <t xml:space="preserve">Configure Online Meeting Platform</t>
  </si>
  <si>
    <t xml:space="preserve">ضبط منصة الاجتماع</t>
  </si>
  <si>
    <t xml:space="preserve">خارج الـ30. جزء من نموذج الدرس الأونلاين</t>
  </si>
  <si>
    <t xml:space="preserve">View Course Schedule</t>
  </si>
  <si>
    <t xml:space="preserve">عرض جدول الكورس (معلم)</t>
  </si>
  <si>
    <t xml:space="preserve">خارج الـ30. قائمة الدروس تبويب ضروري</t>
  </si>
  <si>
    <t xml:space="preserve">Update Scheduled Lesson</t>
  </si>
  <si>
    <t xml:space="preserve">خارج الـ30</t>
  </si>
  <si>
    <t xml:space="preserve">Cancel Scheduled Lesson</t>
  </si>
  <si>
    <t xml:space="preserve">إلغاء درس مجدول</t>
  </si>
  <si>
    <t xml:space="preserve">Manage Teacher Booking Requests</t>
  </si>
  <si>
    <t xml:space="preserve">إدارة طلبات الحجز (معلم)</t>
  </si>
  <si>
    <t xml:space="preserve">خارج الـ30. بدونه لا يكتمل مسار FR-T06/S14/S15</t>
  </si>
  <si>
    <t xml:space="preserve">قبول المستخدم (UAT) — معايير القبول من SRS</t>
  </si>
  <si>
    <t xml:space="preserve">كل صف = فحص واحد. الأصفر = إدخال النتيجة. نتائج «نجح» لكل صفوف FR مع اكتمال مهامه = FR «جاهز» في FR_Matrix.</t>
  </si>
  <si>
    <t xml:space="preserve">الفحص</t>
  </si>
  <si>
    <t xml:space="preserve">النتيجة المتوقعة</t>
  </si>
  <si>
    <t xml:space="preserve">الدور/الحساب</t>
  </si>
  <si>
    <t xml:space="preserve">النتيجة</t>
  </si>
  <si>
    <t xml:space="preserve">نفّذه</t>
  </si>
  <si>
    <t xml:space="preserve">التاريخ</t>
  </si>
  <si>
    <t xml:space="preserve">ملاحظات / Bug</t>
  </si>
  <si>
    <t xml:space="preserve">UAT-001</t>
  </si>
  <si>
    <t xml:space="preserve">رئيسي</t>
  </si>
  <si>
    <t xml:space="preserve">المعلم يفتح تبويب المجموعة لكورس حضوري ويدخل: السعة، تاريخ البداية/النهاية، مدة الدرس، أيام الحضور + الوقت ثم يحفظ</t>
  </si>
  <si>
    <t xml:space="preserve">الحفظ ينجح وتظهر القيم المحفوظة عند إعادة الفتح</t>
  </si>
  <si>
    <t xml:space="preserve">UAT-002</t>
  </si>
  <si>
    <t xml:space="preserve">استثناء</t>
  </si>
  <si>
    <t xml:space="preserve">إدخال جدول غير صالح (نهاية قبل البداية / سعة 0 / بلا أيام / يوم مكرر)</t>
  </si>
  <si>
    <t xml:space="preserve">رسالة تحقق واضحة ولا يحدث حفظ</t>
  </si>
  <si>
    <t xml:space="preserve">UAT-003</t>
  </si>
  <si>
    <t xml:space="preserve">بديل</t>
  </si>
  <si>
    <t xml:space="preserve">تعديل السعة أو الجدول قبل بداية الكورس</t>
  </si>
  <si>
    <t xml:space="preserve">يتم الحفظ ويُعكس التعديل</t>
  </si>
  <si>
    <t xml:space="preserve">UAT-004</t>
  </si>
  <si>
    <t xml:space="preserve">نفس الإعداد لكورس أونلاين</t>
  </si>
  <si>
    <t xml:space="preserve">الحفظ ينجح</t>
  </si>
  <si>
    <t xml:space="preserve">UAT-005</t>
  </si>
  <si>
    <t xml:space="preserve">جدول يتعارض مع درس مجدول</t>
  </si>
  <si>
    <t xml:space="preserve">تحذير تعارض من الباك اند ويمنع الحفظ</t>
  </si>
  <si>
    <t xml:space="preserve">UAT-006</t>
  </si>
  <si>
    <t xml:space="preserve">فتح تبويب «طلاب المجموعة» لمجموعة فيها طلاب مقبولون</t>
  </si>
  <si>
    <t xml:space="preserve">تظهر قائمة (اسم، هاتف، موقع) فقط</t>
  </si>
  <si>
    <t xml:space="preserve">UAT-007</t>
  </si>
  <si>
    <t xml:space="preserve">البحث بالاسم</t>
  </si>
  <si>
    <t xml:space="preserve">تُفلتر القائمة</t>
  </si>
  <si>
    <t xml:space="preserve">UAT-008</t>
  </si>
  <si>
    <t xml:space="preserve">مجموعة بلا طلاب</t>
  </si>
  <si>
    <t xml:space="preserve">رسالة فراغ مناسبة (ليست خطأ)</t>
  </si>
  <si>
    <t xml:space="preserve">UAT-009</t>
  </si>
  <si>
    <t xml:space="preserve">إضافة درس حضوري: رقم، موضوع، تاريخ، وقت، مدة، (قاعة)</t>
  </si>
  <si>
    <t xml:space="preserve">يظهر الدرس في جدول الكورس مع اليوم الصحيح</t>
  </si>
  <si>
    <t xml:space="preserve">UAT-010</t>
  </si>
  <si>
    <t xml:space="preserve">درس يتعارض مع درس آخر أو تاريخ/وقت غير صالح</t>
  </si>
  <si>
    <t xml:space="preserve">رسالة خطأ ولا يُحفظ</t>
  </si>
  <si>
    <t xml:space="preserve">UAT-011</t>
  </si>
  <si>
    <t xml:space="preserve">تعديل درس قبل موعده</t>
  </si>
  <si>
    <t xml:space="preserve">يُحفظ التعديل؛ ولا يمكن تعديل درس بدأ</t>
  </si>
  <si>
    <t xml:space="preserve">UAT-012</t>
  </si>
  <si>
    <t xml:space="preserve">إضافة درس أونلاين مع منصة ورابط http/https</t>
  </si>
  <si>
    <t xml:space="preserve">يظهر الدرس مع المنصة والرابط</t>
  </si>
  <si>
    <t xml:space="preserve">UAT-013</t>
  </si>
  <si>
    <t xml:space="preserve">رابط غير صالح (مثل javascript: أو نص عشوائي) أو تعارض</t>
  </si>
  <si>
    <t xml:space="preserve">رسالة تحقق/خطأ ولا يُحفظ</t>
  </si>
  <si>
    <t xml:space="preserve">UAT-014</t>
  </si>
  <si>
    <t xml:space="preserve">الطالب يرسل طلب حجز (معلم، مادة، صف، وضع، تاريخ، وقت، مدة، ملاحظة)</t>
  </si>
  <si>
    <t xml:space="preserve">يُنشأ الطلب ويظهر بحالة معلّق عند الطالب والمعلم</t>
  </si>
  <si>
    <t xml:space="preserve">UAT-015</t>
  </si>
  <si>
    <t xml:space="preserve">المعلم يقبل الطلب والرصيد كافٍ</t>
  </si>
  <si>
    <t xml:space="preserve">يُخصم من المحفظة ويتحول الحجز لـ Confirmed ويظهر عند الطالب</t>
  </si>
  <si>
    <t xml:space="preserve">معلم + طالب</t>
  </si>
  <si>
    <t xml:space="preserve">UAT-016</t>
  </si>
  <si>
    <t xml:space="preserve">رصيد الطالب غير كافٍ</t>
  </si>
  <si>
    <t xml:space="preserve">يبقى الحجز غير مؤكد وتظهر رسالة/تنبيه يوجّه لشحن المحفظة</t>
  </si>
  <si>
    <t xml:space="preserve">UAT-017</t>
  </si>
  <si>
    <t xml:space="preserve">فشل المعاملة المالية</t>
  </si>
  <si>
    <t xml:space="preserve">لا يُؤكَّد الحجز وتظهر رسالة الباك اند</t>
  </si>
  <si>
    <t xml:space="preserve">UAT-018</t>
  </si>
  <si>
    <t xml:space="preserve">زر الحجز في صفحة المعلم</t>
  </si>
  <si>
    <t xml:space="preserve">مفعّل للطالب ويوجّه لشاشة الحجز؛ الزائر يُحوَّل لتسجيل الدخول</t>
  </si>
  <si>
    <t xml:space="preserve">زائر + طالب</t>
  </si>
  <si>
    <t xml:space="preserve">UAT-019</t>
  </si>
  <si>
    <t xml:space="preserve">تقييم حجز Completed (نجوم + مراجعة اختيارية)</t>
  </si>
  <si>
    <t xml:space="preserve">يُسجَّل التقييم ويظهر تحديث تقييم المعلم</t>
  </si>
  <si>
    <t xml:space="preserve">UAT-020</t>
  </si>
  <si>
    <t xml:space="preserve">تقييم بدون مراجعة نصية</t>
  </si>
  <si>
    <t xml:space="preserve">ينجح</t>
  </si>
  <si>
    <t xml:space="preserve">UAT-021</t>
  </si>
  <si>
    <t xml:space="preserve">حجز غير مكتمل أو مُقيَّم سابقًا</t>
  </si>
  <si>
    <t xml:space="preserve">لا يمكن التقييم (إخفاء الزر أو رسالة الباك اند)</t>
  </si>
  <si>
    <t xml:space="preserve">UAT-022</t>
  </si>
  <si>
    <t xml:space="preserve">ولي أمر يفتح تقرير الأبناء وعنده إشعارات غير مقروءة</t>
  </si>
  <si>
    <t xml:space="preserve">العدد يظهر بوضوح</t>
  </si>
  <si>
    <t xml:space="preserve">UAT-023</t>
  </si>
  <si>
    <t xml:space="preserve">لا توجد إشعارات غير مقروءة</t>
  </si>
  <si>
    <t xml:space="preserve">يظهر 0</t>
  </si>
  <si>
    <t xml:space="preserve">UAT-024</t>
  </si>
  <si>
    <t xml:space="preserve">فشل جلب البيانات</t>
  </si>
  <si>
    <t xml:space="preserve">تظهر اللوحة بدون العدد مع تنبيه</t>
  </si>
  <si>
    <t xml:space="preserve">UAT-025</t>
  </si>
  <si>
    <t xml:space="preserve">ولي أمر يرى أبناءه المرتبطين فقط</t>
  </si>
  <si>
    <t xml:space="preserve">لا يظهر ابن غير مرتبط ولا يوجد إدخال يدوي لـ studentId</t>
  </si>
  <si>
    <t xml:space="preserve">UAT-026</t>
  </si>
  <si>
    <t xml:space="preserve">استدعاء بيانات ابن غير مرتبط (رفض 403 من الباك اند)</t>
  </si>
  <si>
    <t xml:space="preserve">رسالة «غير مصرّح» وليس شاشة فاضية/كسر</t>
  </si>
  <si>
    <t xml:space="preserve">UAT-027</t>
  </si>
  <si>
    <t xml:space="preserve">الطالب يفتح صفحة الحضور</t>
  </si>
  <si>
    <t xml:space="preserve">سجل بحالة كل درس + نسبة الحضور حيث تكفي السجلات</t>
  </si>
  <si>
    <t xml:space="preserve">UAT-028</t>
  </si>
  <si>
    <t xml:space="preserve">فلتر تاريخ/كورس</t>
  </si>
  <si>
    <t xml:space="preserve">تتحدّث النتائج</t>
  </si>
  <si>
    <t xml:space="preserve">UAT-029</t>
  </si>
  <si>
    <t xml:space="preserve">لا سجلات / فشل الجلب</t>
  </si>
  <si>
    <t xml:space="preserve">رسالة فراغ / رسالة خطأ مع إعادة المحاولة</t>
  </si>
  <si>
    <t xml:space="preserve">UAT-030</t>
  </si>
  <si>
    <t xml:space="preserve">فتح نتائج الامتحانات</t>
  </si>
  <si>
    <t xml:space="preserve">عنوان، تاريخ، درجة، مجموع، نسبة، ملاحظات</t>
  </si>
  <si>
    <t xml:space="preserve">UAT-031</t>
  </si>
  <si>
    <t xml:space="preserve">لا نتائج / فشل الجلب</t>
  </si>
  <si>
    <t xml:space="preserve">رسالة فراغ / خطأ</t>
  </si>
  <si>
    <t xml:space="preserve">UAT-032</t>
  </si>
  <si>
    <t xml:space="preserve">فتح التقدم الأكاديمي</t>
  </si>
  <si>
    <t xml:space="preserve">نسبة الحضور ومتوسط الامتحانات + أعداد الجلسات/الامتحانات</t>
  </si>
  <si>
    <t xml:space="preserve">UAT-033</t>
  </si>
  <si>
    <t xml:space="preserve">مؤشر غير قابل للحساب</t>
  </si>
  <si>
    <t xml:space="preserve">يظهر «—» وليس 0%</t>
  </si>
  <si>
    <t xml:space="preserve">UAT-034</t>
  </si>
  <si>
    <t xml:space="preserve">إلغاء حجز مؤهل مع سبب اختياري</t>
  </si>
  <si>
    <t xml:space="preserve">تتحول الحالة إلى Cancelled ويبقى بالسجل</t>
  </si>
  <si>
    <t xml:space="preserve">UAT-035</t>
  </si>
  <si>
    <t xml:space="preserve">حجز خارج نافذة الإلغاء</t>
  </si>
  <si>
    <t xml:space="preserve">يُمنع وتظهر رسالة السياسة</t>
  </si>
  <si>
    <t xml:space="preserve">UAT-036</t>
  </si>
  <si>
    <t xml:space="preserve">حجز لا يخص الطالب</t>
  </si>
  <si>
    <t xml:space="preserve">رفض الوصول</t>
  </si>
  <si>
    <t xml:space="preserve">UAT-037</t>
  </si>
  <si>
    <t xml:space="preserve">طلب إعادة جدولة (تاريخ + وقت + ملاحظة)</t>
  </si>
  <si>
    <t xml:space="preserve">يُسجَّل ويظهر بقائمة طلباتي بحالته</t>
  </si>
  <si>
    <t xml:space="preserve">UAT-038</t>
  </si>
  <si>
    <t xml:space="preserve">المعلم يرفض</t>
  </si>
  <si>
    <t xml:space="preserve">الجدول الأصلي لا يتغير وتظهر الحالة «مرفوض»</t>
  </si>
  <si>
    <t xml:space="preserve">طالب + معلم</t>
  </si>
  <si>
    <t xml:space="preserve">UAT-039</t>
  </si>
  <si>
    <t xml:space="preserve">المعلم يوافق</t>
  </si>
  <si>
    <t xml:space="preserve">يُحدَّث الجدول وتظهر الحالة «موافَق»</t>
  </si>
  <si>
    <t xml:space="preserve">UAT-040</t>
  </si>
  <si>
    <t xml:space="preserve">وقت متعارض/غير متاح</t>
  </si>
  <si>
    <t xml:space="preserve">منع الإرسال ورسالة لطلب وقت آخر</t>
  </si>
  <si>
    <t xml:space="preserve">UAT-041</t>
  </si>
  <si>
    <t xml:space="preserve">الحجز بعد قبول المعلم</t>
  </si>
  <si>
    <t xml:space="preserve">بطاقة حالة الدفع تظهر المبلغ والحالة، وحركة الخصم تظهر بسجل المحفظة</t>
  </si>
  <si>
    <t xml:space="preserve">UAT-042</t>
  </si>
  <si>
    <t xml:space="preserve">رصيد غير كافٍ</t>
  </si>
  <si>
    <t xml:space="preserve">يظهر تنبيه الرصيد مع رابط شحن المحفظة</t>
  </si>
  <si>
    <t xml:space="preserve">UAT-043</t>
  </si>
  <si>
    <t xml:space="preserve">إيداع أرباح بعد قبول/خصم ناجح</t>
  </si>
  <si>
    <t xml:space="preserve">يظهر كحركة «إيداع أرباح» بسجل/أرباح المعلم</t>
  </si>
  <si>
    <t xml:space="preserve">UAT-044</t>
  </si>
  <si>
    <t xml:space="preserve">نص العمولة</t>
  </si>
  <si>
    <t xml:space="preserve">يوضّح أن المودَع صافي بعد العمولة بدون أرقام غير موثّقة</t>
  </si>
  <si>
    <t xml:space="preserve">UAT-045</t>
  </si>
  <si>
    <t xml:space="preserve">فتح درس حضوري من الجدول</t>
  </si>
  <si>
    <t xml:space="preserve">رقم، موضوع، تاريخ، يوم، وقت، مدة، معلم، كورس/مجموعة، قاعة</t>
  </si>
  <si>
    <t xml:space="preserve">UAT-046</t>
  </si>
  <si>
    <t xml:space="preserve">القاعة غير محددة</t>
  </si>
  <si>
    <t xml:space="preserve">تظهر «الموقع غير متوفر»</t>
  </si>
  <si>
    <t xml:space="preserve">UAT-047</t>
  </si>
  <si>
    <t xml:space="preserve">درس لا يخص الطالب</t>
  </si>
  <si>
    <t xml:space="preserve">UAT-048</t>
  </si>
  <si>
    <t xml:space="preserve">فتح درس أونلاين</t>
  </si>
  <si>
    <t xml:space="preserve">المنصة + الرابط + زر انضمام إن canJoin</t>
  </si>
  <si>
    <t xml:space="preserve">UAT-049</t>
  </si>
  <si>
    <t xml:space="preserve">لا توجد معلومات اجتماع</t>
  </si>
  <si>
    <t xml:space="preserve">تفاصيل بدون زر انضمام</t>
  </si>
  <si>
    <t xml:space="preserve">UAT-050</t>
  </si>
  <si>
    <t xml:space="preserve">رابط غير http/https</t>
  </si>
  <si>
    <t xml:space="preserve">لا يُعرض كرابط قابل للنقر</t>
  </si>
  <si>
    <t xml:space="preserve">UAT-051</t>
  </si>
  <si>
    <t xml:space="preserve">فتح كورس مسجَّل</t>
  </si>
  <si>
    <t xml:space="preserve">معلومات الكورس + المجموعة + جدول الدروس</t>
  </si>
  <si>
    <t xml:space="preserve">UAT-052</t>
  </si>
  <si>
    <t xml:space="preserve">كورس بلا دروس</t>
  </si>
  <si>
    <t xml:space="preserve">معلومات الكورس + رسالة فراغ</t>
  </si>
  <si>
    <t xml:space="preserve">UAT-053</t>
  </si>
  <si>
    <t xml:space="preserve">كورس غير مسجَّل فيه</t>
  </si>
  <si>
    <t xml:space="preserve">UAT-054</t>
  </si>
  <si>
    <t xml:space="preserve">إنشاء كورس حضوري (اسم، مادة، وصف، سعة، مجموعة)</t>
  </si>
  <si>
    <t xml:space="preserve">يُنشأ ويظهر بقائمة كورساتي</t>
  </si>
  <si>
    <t xml:space="preserve">UAT-055</t>
  </si>
  <si>
    <t xml:space="preserve">حفظ كمسودة</t>
  </si>
  <si>
    <t xml:space="preserve">يظهر بحالة مسودة</t>
  </si>
  <si>
    <t xml:space="preserve">UAT-056</t>
  </si>
  <si>
    <t xml:space="preserve">بيانات ناقصة</t>
  </si>
  <si>
    <t xml:space="preserve">رسائل تحقق ولا يُنشأ</t>
  </si>
  <si>
    <t xml:space="preserve">UAT-057</t>
  </si>
  <si>
    <t xml:space="preserve">UAT-058</t>
  </si>
  <si>
    <t xml:space="preserve">تعديل منصة/رابط الاجتماع لدرس أونلاين</t>
  </si>
  <si>
    <t xml:space="preserve">يُحفظ ويظهر للطالب</t>
  </si>
  <si>
    <t xml:space="preserve">UAT-059</t>
  </si>
  <si>
    <t xml:space="preserve">فتح جدول الكورس</t>
  </si>
  <si>
    <t xml:space="preserve">كل الدروس مرتبة زمنيًا مع بياناتها</t>
  </si>
  <si>
    <t xml:space="preserve">UAT-060</t>
  </si>
  <si>
    <t xml:space="preserve">لا دروس</t>
  </si>
  <si>
    <t xml:space="preserve">رسالة فراغ</t>
  </si>
  <si>
    <t xml:space="preserve">UAT-061</t>
  </si>
  <si>
    <t xml:space="preserve">تعديل تاريخ/وقت/مدة/موضوع/اجتماع قبل بدء الدرس</t>
  </si>
  <si>
    <t xml:space="preserve">يُحفظ بعد فحص التعارض</t>
  </si>
  <si>
    <t xml:space="preserve">UAT-062</t>
  </si>
  <si>
    <t xml:space="preserve">إلغاء درس قبل موعده بسبب</t>
  </si>
  <si>
    <t xml:space="preserve">تصبح الحالة ملغى ويبقى السجل ويتحدّث جدول الطالب</t>
  </si>
  <si>
    <t xml:space="preserve">UAT-063</t>
  </si>
  <si>
    <t xml:space="preserve">فتح طلبات الحجز وقبول/رفض طلب</t>
  </si>
  <si>
    <t xml:space="preserve">تتغير الحالة ويرى الطالب القرار</t>
  </si>
  <si>
    <t xml:space="preserve">UAT-064</t>
  </si>
  <si>
    <t xml:space="preserve">رفض بسبب</t>
  </si>
  <si>
    <t xml:space="preserve">السبب يظهر للطالب</t>
  </si>
  <si>
    <t xml:space="preserve">ملكية الملفات (منع التعارض)</t>
  </si>
  <si>
    <t xml:space="preserve">كل مسار مالك واحد فقط. عمود «فحص التعارض» يكشف أي مسار مكرر. أضف أي ملف جديد هنا قبل البدء بكتابته.</t>
  </si>
  <si>
    <t xml:space="preserve">#</t>
  </si>
  <si>
    <t xml:space="preserve">المسار</t>
  </si>
  <si>
    <t xml:space="preserve">المالك</t>
  </si>
  <si>
    <t xml:space="preserve">الإجراء</t>
  </si>
  <si>
    <t xml:space="preserve">Stub أنشأه</t>
  </si>
  <si>
    <t xml:space="preserve">الخطورة</t>
  </si>
  <si>
    <t xml:space="preserve">فحص التعارض</t>
  </si>
  <si>
    <t xml:space="preserve">src/integrations/backend/bookings.ts</t>
  </si>
  <si>
    <t xml:space="preserve">تعديل</t>
  </si>
  <si>
    <t xml:space="preserve">عالٍ</t>
  </si>
  <si>
    <t xml:space="preserve">بعد WP-00 مجمّد. من يحتاج دالة جديدة يضعها في ملف ext/ الخاص به ويطلب CR.</t>
  </si>
  <si>
    <t xml:space="preserve">src/integrations/backend/lessons.ts</t>
  </si>
  <si>
    <t xml:space="preserve">مجمّد بعد WP-00</t>
  </si>
  <si>
    <t xml:space="preserve">src/integrations/backend/courses.ts</t>
  </si>
  <si>
    <t xml:space="preserve">src/integrations/backend/student.ts</t>
  </si>
  <si>
    <t xml:space="preserve">src/integrations/backend/op-result.ts</t>
  </si>
  <si>
    <t xml:space="preserve">إنشاء</t>
  </si>
  <si>
    <t xml:space="preserve">متوسط</t>
  </si>
  <si>
    <t xml:space="preserve">src/integrations/backend/bookings.test.ts</t>
  </si>
  <si>
    <t xml:space="preserve">منخفض</t>
  </si>
  <si>
    <t xml:space="preserve">src/integrations/backend/lessons.test.ts</t>
  </si>
  <si>
    <t xml:space="preserve">src/integrations/backend/student.test.ts</t>
  </si>
  <si>
    <t xml:space="preserve">src/integrations/backend/courses.test.ts</t>
  </si>
  <si>
    <t xml:space="preserve">src/lib/enums.ts</t>
  </si>
  <si>
    <t xml:space="preserve">src/lib/format.ts</t>
  </si>
  <si>
    <t xml:space="preserve">src/lib/format.test.ts</t>
  </si>
  <si>
    <t xml:space="preserve">src/lib/query-keys.ts</t>
  </si>
  <si>
    <t xml:space="preserve">أُضيف إليه qk.teacherEarningsCredits() من WP-W2 قبل إغلاق WP-00 (بلا CR). كل مفاتيح react-query الجديدة من هنا فقط</t>
  </si>
  <si>
    <t xml:space="preserve">src/lib/booking-rules.ts</t>
  </si>
  <si>
    <t xml:space="preserve">src/lib/booking-rules.test.ts</t>
  </si>
  <si>
    <t xml:space="preserve">src/components/app/booking-status-badge.tsx</t>
  </si>
  <si>
    <t xml:space="preserve">src/components/ui/star-rating.tsx</t>
  </si>
  <si>
    <t xml:space="preserve">src/components/ui/segmented-tabs.tsx</t>
  </si>
  <si>
    <t xml:space="preserve">src/components/app/confirm-dialog.tsx</t>
  </si>
  <si>
    <t xml:space="preserve">src/lib/rbac-static-data.ts</t>
  </si>
  <si>
    <t xml:space="preserve">تسجيل التنقّل مرة واحدة. ممنوع على Wave 1.</t>
  </si>
  <si>
    <t xml:space="preserve">src/routes/_authenticated/my-courses.tsx</t>
  </si>
  <si>
    <t xml:space="preserve">يُعاد تركيبه من لوحات ثم يُجمَّد</t>
  </si>
  <si>
    <t xml:space="preserve">src/components/admin/app-sidebar.tsx</t>
  </si>
  <si>
    <t xml:space="preserve">تعديل (اختياري)</t>
  </si>
  <si>
    <t xml:space="preserve">فقط مهمة 00-19</t>
  </si>
  <si>
    <t xml:space="preserve">src/routeTree.gen.ts</t>
  </si>
  <si>
    <t xml:space="preserve">WP-00 / WP-QA فقط</t>
  </si>
  <si>
    <t xml:space="preserve">تلقائي</t>
  </si>
  <si>
    <t xml:space="preserve">عالٍ جدًا</t>
  </si>
  <si>
    <t xml:space="preserve">لا تعدّله يدويًا ولا تضعه في PR أي WP آخر. عند التعارض: احذفه وأعد التوليد</t>
  </si>
  <si>
    <t xml:space="preserve">src/routes/_authenticated/teacher.courses.tsx</t>
  </si>
  <si>
    <t xml:space="preserve">استبدال</t>
  </si>
  <si>
    <t xml:space="preserve">WP-00 (لا يحتاج)</t>
  </si>
  <si>
    <t xml:space="preserve">موجود حاليًا كـ placeholder</t>
  </si>
  <si>
    <t xml:space="preserve">src/routes/_authenticated/teacher.course.$id.tsx</t>
  </si>
  <si>
    <t xml:space="preserve">Shell بتبويبات؛ يستورد مكونات T2/T3/T4</t>
  </si>
  <si>
    <t xml:space="preserve">src/components/teacher/course-details-tab.tsx</t>
  </si>
  <si>
    <t xml:space="preserve">src/components/teacher/course-details-tab.test.ts</t>
  </si>
  <si>
    <t xml:space="preserve">src/components/teacher/group-config-tab.tsx</t>
  </si>
  <si>
    <t xml:space="preserve">src/components/teacher/group-config-tab.test.ts</t>
  </si>
  <si>
    <t xml:space="preserve">src/components/teacher/group-students-tab.tsx</t>
  </si>
  <si>
    <t xml:space="preserve">src/components/teacher/lessons-tab.tsx</t>
  </si>
  <si>
    <t xml:space="preserve">src/components/teacher/lesson-form-dialog.tsx</t>
  </si>
  <si>
    <t xml:space="preserve">src/components/teacher/lesson-form-dialog.test.ts</t>
  </si>
  <si>
    <t xml:space="preserve">src/components/teacher/lesson-cancel-dialog.tsx</t>
  </si>
  <si>
    <t xml:space="preserve">src/routes/_authenticated/teacher.bookings.tsx</t>
  </si>
  <si>
    <t xml:space="preserve">src/routes/_authenticated/teacher.dashboard.tsx</t>
  </si>
  <si>
    <t xml:space="preserve">استبدال اللوحة المعطّلة فقط</t>
  </si>
  <si>
    <t xml:space="preserve">src/routes/_authenticated/book.$teacherId.tsx</t>
  </si>
  <si>
    <t xml:space="preserve">src/routes/teacher.$id.tsx</t>
  </si>
  <si>
    <t xml:space="preserve">صفحة عامة؛ زر الحجز فقط</t>
  </si>
  <si>
    <t xml:space="preserve">src/components/student/booking-slot-picker.tsx</t>
  </si>
  <si>
    <t xml:space="preserve">src/components/student/booking-slot-picker.test.ts</t>
  </si>
  <si>
    <t xml:space="preserve">src/routes/_authenticated/booking.$id.tsx</t>
  </si>
  <si>
    <t xml:space="preserve">يستورد مكونات W1/S3/S4</t>
  </si>
  <si>
    <t xml:space="preserve">src/components/student/cancel-booking-dialog.tsx</t>
  </si>
  <si>
    <t xml:space="preserve">src/components/student/my-courses/confirmed-bookings-panel.tsx</t>
  </si>
  <si>
    <t xml:space="preserve">src/components/student/my-courses/pending-requests-panel.tsx</t>
  </si>
  <si>
    <t xml:space="preserve">src/components/student/reschedule-dialog.tsx</t>
  </si>
  <si>
    <t xml:space="preserve">src/components/student/reschedule-dialog.test.ts</t>
  </si>
  <si>
    <t xml:space="preserve">src/components/student/my-courses/reschedule-requests-panel.tsx</t>
  </si>
  <si>
    <t xml:space="preserve">src/components/student/rate-booking-dialog.tsx</t>
  </si>
  <si>
    <t xml:space="preserve">src/components/student/rate-booking-dialog.test.ts</t>
  </si>
  <si>
    <t xml:space="preserve">src/routes/_authenticated/lesson.$id.tsx</t>
  </si>
  <si>
    <t xml:space="preserve">src/test-units/lesson.$id.test.ts</t>
  </si>
  <si>
    <t xml:space="preserve">src/routes/_authenticated/schedule.tsx</t>
  </si>
  <si>
    <t xml:space="preserve">src/routes/_authenticated/enrolled-course.$id.tsx</t>
  </si>
  <si>
    <t xml:space="preserve">src/test-units/enrolled-course.$id.test.ts</t>
  </si>
  <si>
    <t xml:space="preserve">src/components/student/my-courses/enrolled-courses-panel.tsx</t>
  </si>
  <si>
    <t xml:space="preserve">src/routes/_authenticated/attendance.tsx</t>
  </si>
  <si>
    <t xml:space="preserve">src/test-units/attendance.test.ts</t>
  </si>
  <si>
    <t xml:space="preserve">src/routes/_authenticated/exam-results.tsx</t>
  </si>
  <si>
    <t xml:space="preserve">src/test-units/exam-results.test.ts</t>
  </si>
  <si>
    <t xml:space="preserve">src/routes/_authenticated/progress.tsx</t>
  </si>
  <si>
    <t xml:space="preserve">src/test-units/progress.test.ts</t>
  </si>
  <si>
    <t xml:space="preserve">src/routes/_authenticated/parent.report.tsx</t>
  </si>
  <si>
    <t xml:space="preserve">src/test-units/parent.report.test.ts</t>
  </si>
  <si>
    <t xml:space="preserve">src/routes/_authenticated/parent.settings.tsx</t>
  </si>
  <si>
    <t xml:space="preserve">src/routes/_authenticated/wallet.tsx</t>
  </si>
  <si>
    <t xml:space="preserve">src/components/wallet/wallet-balance-panel.tsx</t>
  </si>
  <si>
    <t xml:space="preserve">يستهلكه teacher.earnings أيضًا: أي تغيير على props يكون اختياريًا فقط</t>
  </si>
  <si>
    <t xml:space="preserve">src/components/wallet/insufficient-balance-alert.tsx</t>
  </si>
  <si>
    <t xml:space="preserve">يستهلكه WP-S1 وWP-S2</t>
  </si>
  <si>
    <t xml:space="preserve">src/components/student/booking-payment-card.tsx</t>
  </si>
  <si>
    <t xml:space="preserve">يستهلكه WP-S2</t>
  </si>
  <si>
    <t xml:space="preserve">src/components/student/booking-payment-card.test.ts</t>
  </si>
  <si>
    <t xml:space="preserve">src/routes/_authenticated/teacher.earnings.tsx</t>
  </si>
  <si>
    <t xml:space="preserve">src/test-units/teacher.earnings.test.ts</t>
  </si>
  <si>
    <t xml:space="preserve">README.md</t>
  </si>
  <si>
    <t xml:space="preserve">CHANGELOG.md</t>
  </si>
  <si>
    <t xml:space="preserve">سطر جديد فوق فقط (append-only)</t>
  </si>
  <si>
    <t xml:space="preserve">PROJECT-ATLAS.md</t>
  </si>
  <si>
    <t xml:space="preserve">src/integrations/backend/pending-json.ts</t>
  </si>
  <si>
    <t xml:space="preserve">النوع المؤقت للردود غير الموثّقة؛ يُقلَّص تدريجيًا بواسطة WP-J</t>
  </si>
  <si>
    <t xml:space="preserve">src/lib/parent-report.ts</t>
  </si>
  <si>
    <t xml:space="preserve">منطق نقي لتقرير ولي الأمر (سجّله المستخدم في v1.4)</t>
  </si>
  <si>
    <t xml:space="preserve">src/lib/earnings.ts</t>
  </si>
  <si>
    <t xml:space="preserve">منطق نقي لأرباح المعلم (سجّله المستخدم في v1.4)</t>
  </si>
  <si>
    <t xml:space="preserve">src/lib/booking-slots.ts</t>
  </si>
  <si>
    <t xml:space="preserve">محفوظ لـClaude (A-claude): توليد الأوقات المتاحة وتقدير السعر</t>
  </si>
  <si>
    <t xml:space="preserve">src/lib/reschedule-validation.ts</t>
  </si>
  <si>
    <t xml:space="preserve">محفوظ لـClaude (A-claude): تحقق نافذة إعادة الجدولة</t>
  </si>
  <si>
    <t xml:space="preserve">src/lib/schedule-join.ts</t>
  </si>
  <si>
    <t xml:space="preserve">محفوظ لـClaude (A-claude): قواعد عرض زر الانضمام/الرابط</t>
  </si>
  <si>
    <t xml:space="preserve">src/lib/exam-percent.ts</t>
  </si>
  <si>
    <t xml:space="preserve">محفوظ لـClaude (A-claude): حساب نسبة الامتحان</t>
  </si>
  <si>
    <t xml:space="preserve">src/components/student/attendance-rate-card.tsx</t>
  </si>
  <si>
    <t xml:space="preserve">محفوظ لـClaude (A-claude): بطاقة نسبة الحضور (S7-02)</t>
  </si>
  <si>
    <t xml:space="preserve">src/lib/progress.ts</t>
  </si>
  <si>
    <t xml:space="preserve">منطق نقي لصفحة التقدم (سجّله المستخدم v1.5)</t>
  </si>
  <si>
    <t xml:space="preserve">src/components/teacher/lesson-form-schema.ts</t>
  </si>
  <si>
    <t xml:space="preserve">مخطط zod لنموذج الدرس (سجّله المستخدم v1.5)</t>
  </si>
  <si>
    <t xml:space="preserve">src/components/teacher/group-schedule-validation.ts</t>
  </si>
  <si>
    <t xml:space="preserve">محققات جدول المجموعة (سجّله المستخدم v1.5)</t>
  </si>
  <si>
    <t xml:space="preserve">src/lib/rating.ts</t>
  </si>
  <si>
    <t xml:space="preserve">تحقق نقي للتقييم (Claude v1.5)</t>
  </si>
  <si>
    <t xml:space="preserve">src/components/student/my-courses/schedule-row.tsx</t>
  </si>
  <si>
    <t xml:space="preserve">صفّ رابط للوحات كورساتي (Claude v1.5)</t>
  </si>
  <si>
    <t xml:space="preserve">src/components/teacher/course-seams.ts</t>
  </si>
  <si>
    <t xml:space="preserve">دوال seam لبيانات الكورس غير الموثّقة (groupId/نوع/قيم التعديل/lookups): يُنفّذها WP-J عند J-05 فقط (Claude v1.8)</t>
  </si>
  <si>
    <t xml:space="preserve">src/components/teacher/course-form-schema.ts</t>
  </si>
  <si>
    <t xml:space="preserve">تحقق نموذج الكورس + toCourseInput (Claude v1.8)</t>
  </si>
  <si>
    <t xml:space="preserve">src/components/teacher/group-schedule-form.ts</t>
  </si>
  <si>
    <t xml:space="preserve">بناء/تحقق نموذج المجموعة فوق محقق T2-03 (Claude v1.8)</t>
  </si>
  <si>
    <t xml:space="preserve">src/components/teacher/meeting-config-schema.ts</t>
  </si>
  <si>
    <t xml:space="preserve">تحقق بيانات الاجتماع (Claude v1.8)</t>
  </si>
  <si>
    <t xml:space="preserve">src/components/teacher/meeting-config-dialog.tsx</t>
  </si>
  <si>
    <t xml:space="preserve">نافذة T4-05 (Claude v1.8)</t>
  </si>
  <si>
    <t xml:space="preserve">src/components/teacher/meeting-config-dialog.test.ts</t>
  </si>
  <si>
    <t xml:space="preserve">src/components/teacher/decide-booking-dialog.tsx</t>
  </si>
  <si>
    <t xml:space="preserve">نافذة قبول/رفض T5-02 (Claude v1.8)</t>
  </si>
  <si>
    <t xml:space="preserve">src/components/teacher/complete-booking-dialog.tsx</t>
  </si>
  <si>
    <t xml:space="preserve">نافذة إنهاء الحصة T5-03 (Claude v1.8)</t>
  </si>
  <si>
    <t xml:space="preserve">src/lib/booking-decision.ts</t>
  </si>
  <si>
    <t xml:space="preserve">تحقق قرار المعلم (Claude v1.8)</t>
  </si>
  <si>
    <t xml:space="preserve">src/test-units/booking-decision.test.ts</t>
  </si>
  <si>
    <t xml:space="preserve">package.json / package-lock.json</t>
  </si>
  <si>
    <t xml:space="preserve">مجمّد</t>
  </si>
  <si>
    <t xml:space="preserve">ممنوع</t>
  </si>
  <si>
    <t xml:space="preserve">ممنوع إضافة dependencies بدون موافقة (CR)</t>
  </si>
  <si>
    <t xml:space="preserve">src/integrations/backend/client.ts</t>
  </si>
  <si>
    <t xml:space="preserve">عميل HTTP — مشترك</t>
  </si>
  <si>
    <t xml:space="preserve">src/integrations/backend/auth.ts</t>
  </si>
  <si>
    <t xml:space="preserve">خارج النطاق</t>
  </si>
  <si>
    <t xml:space="preserve">src/components/app/kit.tsx</t>
  </si>
  <si>
    <t xml:space="preserve">مكونات AppPage/Panel/DataTable.. — مشتركة؛ أي إضافة عبر CR</t>
  </si>
  <si>
    <t xml:space="preserve">src/components/app/feedback-states.tsx</t>
  </si>
  <si>
    <t xml:space="preserve">مشتركة</t>
  </si>
  <si>
    <t xml:space="preserve">src/components/app/guard.tsx / hooks/use-access.ts / use-can-view.ts</t>
  </si>
  <si>
    <t xml:space="preserve">منظومة الصلاحيات</t>
  </si>
  <si>
    <t xml:space="preserve">src/lib/bi.ts / lib/seo.ts / lib/rbac-client.ts / lib/rbac-types.ts</t>
  </si>
  <si>
    <t xml:space="preserve">src/i18n/locales/*.json</t>
  </si>
  <si>
    <t xml:space="preserve">لا تُعدَّل: النصوص الجديدة عبر bi(ar,en) داخل المكونات</t>
  </si>
  <si>
    <t xml:space="preserve">src/styles.css</t>
  </si>
  <si>
    <t xml:space="preserve">لا تعديل بدون CR</t>
  </si>
  <si>
    <t xml:space="preserve">src/routes/_authenticated/route.tsx / __root.tsx</t>
  </si>
  <si>
    <t xml:space="preserve">هيكل التطبيق</t>
  </si>
  <si>
    <t xml:space="preserve">src/routes/_authenticated/dashboard.tsx</t>
  </si>
  <si>
    <t xml:space="preserve">لوحة الطالب (جاهزة FR-S01) — لا تلمسها</t>
  </si>
  <si>
    <t xml:space="preserve">src/routes/_authenticated/notifications.tsx</t>
  </si>
  <si>
    <t xml:space="preserve">جاهزة FR-S12</t>
  </si>
  <si>
    <t xml:space="preserve">العقود بين الـ WPs (واجهات المكونات والاتفاقات)</t>
  </si>
  <si>
    <t xml:space="preserve">هذا ما يجعل الـ WPs تعمل بالتوازي بدون انتظار بعضها: كل مكوّن مُستهلَك له Stub من WP-00 بنفس الـ props. لا يغيّر مالك مكوّن توقيعه بدون CR.</t>
  </si>
  <si>
    <t xml:space="preserve">الملف (تحت src/)</t>
  </si>
  <si>
    <t xml:space="preserve">التوقيع / الـ props / القاعدة</t>
  </si>
  <si>
    <t xml:space="preserve">المستهلكون</t>
  </si>
  <si>
    <t xml:space="preserve">C-01</t>
  </si>
  <si>
    <t xml:space="preserve">تبويبات شاشة الكورس (4 مكونات)</t>
  </si>
  <si>
    <t xml:space="preserve">components/teacher/{course-details-tab,group-config-tab,group-students-tab,lessons-tab}.tsx</t>
  </si>
  <si>
    <t xml:space="preserve">props: { course: TeacherCourseDetail; onChanged: () =&gt; void } — v1.8: CourseDetailsTab يقبل course=null للإنشاء وdefaultDeliveryType? اختياريًا (توسعة متوافقة)</t>
  </si>
  <si>
    <t xml:space="preserve">T1 / T2 / T3 / T4</t>
  </si>
  <si>
    <t xml:space="preserve">WP-T1 (shell)</t>
  </si>
  <si>
    <t xml:space="preserve">الـ shell هو الذي يجلب الكورس ويمرّره. النوع يُعرَّف في courses.ts (WP-00) ويُعدَّل بعد عينة Q-05.</t>
  </si>
  <si>
    <t xml:space="preserve">C-02</t>
  </si>
  <si>
    <t xml:space="preserve">props: { bookingId: number }</t>
  </si>
  <si>
    <t xml:space="preserve">تجلب Student/BookingPayment داخليًا.</t>
  </si>
  <si>
    <t xml:space="preserve">C-03</t>
  </si>
  <si>
    <t xml:space="preserve">props: { required: number; balance: number }</t>
  </si>
  <si>
    <t xml:space="preserve">WP-S1, WP-S2</t>
  </si>
  <si>
    <t xml:space="preserve">C-04</t>
  </si>
  <si>
    <t xml:space="preserve">props: { booking: StudentBookingDetail; open: boolean; onOpenChange(o:boolean): void }</t>
  </si>
  <si>
    <t xml:space="preserve">WP-S2 (booking.$id)</t>
  </si>
  <si>
    <t xml:space="preserve">داخلية لـ WP-S2.</t>
  </si>
  <si>
    <t xml:space="preserve">C-05</t>
  </si>
  <si>
    <t xml:space="preserve">نافذة إعادة الجدولة</t>
  </si>
  <si>
    <t xml:space="preserve">C-06</t>
  </si>
  <si>
    <t xml:space="preserve">C-07</t>
  </si>
  <si>
    <t xml:space="preserve">props: {} (تجلب بنفسها)</t>
  </si>
  <si>
    <t xml:space="preserve">my-courses.tsx (WP-00)</t>
  </si>
  <si>
    <t xml:space="preserve">C-08</t>
  </si>
  <si>
    <t xml:space="preserve">لوحة الكورسات المسجّلة</t>
  </si>
  <si>
    <t xml:space="preserve">props: {}</t>
  </si>
  <si>
    <t xml:space="preserve">C-09</t>
  </si>
  <si>
    <t xml:space="preserve">لوحتا الحجوزات والطلبات</t>
  </si>
  <si>
    <t xml:space="preserve">components/student/my-courses/{confirmed-bookings-panel,pending-requests-panel}.tsx</t>
  </si>
  <si>
    <t xml:space="preserve">C-10</t>
  </si>
  <si>
    <t xml:space="preserve">شارة حالة الحجز</t>
  </si>
  <si>
    <t xml:space="preserve">components/app/booking-status-badge.tsx</t>
  </si>
  <si>
    <t xml:space="preserve">props: { status: number }</t>
  </si>
  <si>
    <t xml:space="preserve">كل WP</t>
  </si>
  <si>
    <t xml:space="preserve">القيم 1..6 (Pending, Accepted, Rejected, Cancelled, Confirmed, Completed).</t>
  </si>
  <si>
    <t xml:space="preserve">C-11</t>
  </si>
  <si>
    <t xml:space="preserve">نجوم التقييم</t>
  </si>
  <si>
    <t xml:space="preserve">components/ui/star-rating.tsx</t>
  </si>
  <si>
    <t xml:space="preserve">props: { value: number; onChange?(v:number): void; readOnly?: boolean }</t>
  </si>
  <si>
    <t xml:space="preserve">WP-S4, WP-T5</t>
  </si>
  <si>
    <t xml:space="preserve">C-12</t>
  </si>
  <si>
    <t xml:space="preserve">تبويبات مقسّمة</t>
  </si>
  <si>
    <t xml:space="preserve">components/ui/segmented-tabs.tsx</t>
  </si>
  <si>
    <t xml:space="preserve">props: { value: string; onChange(v:string): void; items: {value:string; label:string; disabled?:boolean}[] }</t>
  </si>
  <si>
    <t xml:space="preserve">WP-T1, WP-T5</t>
  </si>
  <si>
    <t xml:space="preserve">C-13</t>
  </si>
  <si>
    <t xml:space="preserve">نافذة تأكيد</t>
  </si>
  <si>
    <t xml:space="preserve">components/app/confirm-dialog.tsx</t>
  </si>
  <si>
    <t xml:space="preserve">props: { open; onOpenChange; title; description; confirmLabel; onConfirm; loading?; destructive? }</t>
  </si>
  <si>
    <t xml:space="preserve">C-14</t>
  </si>
  <si>
    <t xml:space="preserve">نتيجة العملية</t>
  </si>
  <si>
    <t xml:space="preserve">assertOk(result: OperationResult, fallbackAr: string, fallbackEn: string): void</t>
  </si>
  <si>
    <t xml:space="preserve">كل POST/PUT يرجع OperationResult {success, message, returnId..}. تحقق منه دائمًا.</t>
  </si>
  <si>
    <t xml:space="preserve">C-15</t>
  </si>
  <si>
    <t xml:space="preserve">قواعد أهلية الحجز</t>
  </si>
  <si>
    <t xml:space="preserve">lib/booking-rules.ts</t>
  </si>
  <si>
    <t xml:space="preserve">canCancel(b) / canReschedule(b) / canRate(b): boolean</t>
  </si>
  <si>
    <t xml:space="preserve">WP-S2, S3, S4</t>
  </si>
  <si>
    <t xml:space="preserve">الباك اند هو المرجع النهائي؛ هذه فقط لإخفاء/إظهار الأزرار.</t>
  </si>
  <si>
    <t xml:space="preserve">C-16</t>
  </si>
  <si>
    <t xml:space="preserve">مفاتيح react-query</t>
  </si>
  <si>
    <t xml:space="preserve">qk.studentBooking(id) .. + invalidateBookingQueries(qc, id?)</t>
  </si>
  <si>
    <t xml:space="preserve">ممنوع ابتكار مفاتيح جديدة خارج الملف.</t>
  </si>
  <si>
    <t xml:space="preserve">C-17</t>
  </si>
  <si>
    <t xml:space="preserve">إعادة استخدام Guard keys (بدون إضافة PAGES)</t>
  </si>
  <si>
    <t xml:space="preserve">lesson.$id→student_schedule | enrolled-course.$id→student_my_courses | booking.$id→student_my_courses | book.$teacherId→student_my_courses | teacher.course.$id→teacher_courses</t>
  </si>
  <si>
    <t xml:space="preserve">WP-S1,S2,S5,S6,T1</t>
  </si>
  <si>
    <t xml:space="preserve">الصفحات الجديدة بالتنقّل: student_attendance, student_exam_results, student_progress, teacher_bookings فقط.</t>
  </si>
  <si>
    <t xml:space="preserve">C-18</t>
  </si>
  <si>
    <t xml:space="preserve">مسارات (URLs) متفق عليها</t>
  </si>
  <si>
    <t xml:space="preserve">/teacher/course/$id (id أو new) | /teacher/bookings | /book/$teacherId | /booking/$id | /lesson/$id | /enrolled-course/$id | /attendance | /exam-results | /progress</t>
  </si>
  <si>
    <t xml:space="preserve">أسماء مفردة (course/booking/lesson) لتجنّب nesting مع my-courses/teacher.courses. أي اسم آخر عبر CR.</t>
  </si>
  <si>
    <t xml:space="preserve">C-19</t>
  </si>
  <si>
    <t xml:space="preserve">Props لـ WalletBalancePanel</t>
  </si>
  <si>
    <t xml:space="preserve">الحالية: { actionSlot? } — الإضافات اختيارية فقط</t>
  </si>
  <si>
    <t xml:space="preserve">WP-W2 (+ wallet.tsx)</t>
  </si>
  <si>
    <t xml:space="preserve">W2 لا يعدّل الملف؛ يبني لوحته داخل teacher.earnings.tsx.</t>
  </si>
  <si>
    <t xml:space="preserve">C-20</t>
  </si>
  <si>
    <t xml:space="preserve">أنواع الردود المؤقتة</t>
  </si>
  <si>
    <t xml:space="preserve">PendingResponse = { id?: number } &amp; Record&lt;string, unknown&gt; — كل رد غير موثّق بالـSwagger يُصدَّر باسمه المتفق عليه كـ alias لهذا النوع (// PENDING-JSON)</t>
  </si>
  <si>
    <t xml:space="preserve">WP-00 → WP-J</t>
  </si>
  <si>
    <t xml:space="preserve">الأسماء: StudentBookingDetail, StudentBookingPayment, StudentRescheduleRequest, StudentLessonDetail, StudentCourseDetail, StudentAttendanceRow, StudentExamResultRow, TeacherCourseDetail, GroupStudentRow, TeacherBookingRow, TeacherRescheduleRequestRow. لا تقرأ حقولًا منها قبل J (العمود «يعتمد على JSON؟»).</t>
  </si>
  <si>
    <t xml:space="preserve">C-21</t>
  </si>
  <si>
    <t xml:space="preserve">enums.ts</t>
  </si>
  <si>
    <t xml:space="preserve">BookingStatus={Pending:1,Accepted:2,Rejected:3,Cancelled:4,Confirmed:5,Completed:6} · bookingStatusLabel(s,bi) · bookingStatusTone(s) · DeliveryType={InPerson:1,Online:2} · MeetingPlatform={Zoom:1,GoogleMeet:2,MicrosoftTeams:3,Other:4}(+label) · AttendanceStatus={Present:1,Absent:2,Late:3,Excused:4}(+label/tone) · DayOfWeek(+label) · type Bi=&lt;T&gt;(ar:T,en:T)=&gt;T. RescheduleStatus يُضاف في J-02 (الأسماء غير موثّقة).</t>
  </si>
  <si>
    <t xml:space="preserve">C-22</t>
  </si>
  <si>
    <t xml:space="preserve">op-result.ts</t>
  </si>
  <si>
    <t xml:space="preserve">interface OperationResult {success:boolean; message?:string|null; returnId?:number|null} · assertOk(result, fallbackAr, fallbackEn): void</t>
  </si>
  <si>
    <t xml:space="preserve">سجل مفاتيح react-query (مصدرها lib/query-keys.ts — WP-00)</t>
  </si>
  <si>
    <t xml:space="preserve">المفتاح</t>
  </si>
  <si>
    <t xml:space="preserve">المعاملات</t>
  </si>
  <si>
    <t xml:space="preserve">يستخدمه</t>
  </si>
  <si>
    <t xml:space="preserve">يُبطَل بعد</t>
  </si>
  <si>
    <t xml:space="preserve">student-dashboard</t>
  </si>
  <si>
    <t xml:space="preserve">موجود</t>
  </si>
  <si>
    <t xml:space="preserve">dashboard</t>
  </si>
  <si>
    <t xml:space="preserve">إرسال/إلغاء حجز</t>
  </si>
  <si>
    <t xml:space="preserve">student-my-bookings</t>
  </si>
  <si>
    <t xml:space="preserve">كورساتي</t>
  </si>
  <si>
    <t xml:space="preserve">إرسال/قرار/إلغاء/إعادة جدولة/تقييم</t>
  </si>
  <si>
    <t xml:space="preserve">student-my-requests</t>
  </si>
  <si>
    <t xml:space="preserve">status?</t>
  </si>
  <si>
    <t xml:space="preserve">إرسال/قرار/إلغاء</t>
  </si>
  <si>
    <t xml:space="preserve">student-schedule</t>
  </si>
  <si>
    <t xml:space="preserve">filter</t>
  </si>
  <si>
    <t xml:space="preserve">الجدول</t>
  </si>
  <si>
    <t xml:space="preserve">قرار/إلغاء/إعادة جدولة/إلغاء درس</t>
  </si>
  <si>
    <t xml:space="preserve">student-notifications</t>
  </si>
  <si>
    <t xml:space="preserve">الإشعارات</t>
  </si>
  <si>
    <t xml:space="preserve">my-wallet / my-wallet-history</t>
  </si>
  <si>
    <t xml:space="preserve">page</t>
  </si>
  <si>
    <t xml:space="preserve">المحفظة</t>
  </si>
  <si>
    <t xml:space="preserve">قبول حجز (خصم)/إلغاء (استرجاع)</t>
  </si>
  <si>
    <t xml:space="preserve">parent-children / parent-child-attendance / parent-child-exams</t>
  </si>
  <si>
    <t xml:space="preserve">studentId</t>
  </si>
  <si>
    <t xml:space="preserve">تقرير ولي الأمر</t>
  </si>
  <si>
    <t xml:space="preserve">backend-teacher-profile / backend-teacher-availability</t>
  </si>
  <si>
    <t xml:space="preserve">teacherId</t>
  </si>
  <si>
    <t xml:space="preserve">صفحة المعلم + شاشة الحجز</t>
  </si>
  <si>
    <t xml:space="preserve">تقييم (profile)</t>
  </si>
  <si>
    <t xml:space="preserve">published-courses</t>
  </si>
  <si>
    <t xml:space="preserve">الكتالوج العام</t>
  </si>
  <si>
    <t xml:space="preserve">student-booking</t>
  </si>
  <si>
    <t xml:space="preserve">جديد</t>
  </si>
  <si>
    <t xml:space="preserve">id</t>
  </si>
  <si>
    <t xml:space="preserve">booking.$id (WP-S2/S3/S4/W1)</t>
  </si>
  <si>
    <t xml:space="preserve">كل إجراء على الحجز</t>
  </si>
  <si>
    <t xml:space="preserve">student-booking-payment</t>
  </si>
  <si>
    <t xml:space="preserve">bookingId</t>
  </si>
  <si>
    <t xml:space="preserve">booking-payment-card (W1)</t>
  </si>
  <si>
    <t xml:space="preserve">قرار المعلم/إلغاء</t>
  </si>
  <si>
    <t xml:space="preserve">student-reschedule-requests</t>
  </si>
  <si>
    <t xml:space="preserve">reschedule-requests-panel (S3)</t>
  </si>
  <si>
    <t xml:space="preserve">طلب إعادة جدولة / قرار المعلم</t>
  </si>
  <si>
    <t xml:space="preserve">student-lesson</t>
  </si>
  <si>
    <t xml:space="preserve">lesson.$id (S5)</t>
  </si>
  <si>
    <t xml:space="preserve">student-course</t>
  </si>
  <si>
    <t xml:space="preserve">enrolled-course.$id (S6)</t>
  </si>
  <si>
    <t xml:space="preserve">student-attendance</t>
  </si>
  <si>
    <t xml:space="preserve">from,to,courseId</t>
  </si>
  <si>
    <t xml:space="preserve">attendance (S7)</t>
  </si>
  <si>
    <t xml:space="preserve">student-exam-results</t>
  </si>
  <si>
    <t xml:space="preserve">courseId</t>
  </si>
  <si>
    <t xml:space="preserve">exam-results (S8)</t>
  </si>
  <si>
    <t xml:space="preserve">student-progress</t>
  </si>
  <si>
    <t xml:space="preserve">progress (S9)</t>
  </si>
  <si>
    <t xml:space="preserve">teacher-bookings</t>
  </si>
  <si>
    <t xml:space="preserve">status</t>
  </si>
  <si>
    <t xml:space="preserve">teacher.bookings (T5)</t>
  </si>
  <si>
    <t xml:space="preserve">قرار/إنهاء</t>
  </si>
  <si>
    <t xml:space="preserve">teacher-reschedule-requests</t>
  </si>
  <si>
    <t xml:space="preserve">قرار إعادة الجدولة</t>
  </si>
  <si>
    <t xml:space="preserve">teacher-courses</t>
  </si>
  <si>
    <t xml:space="preserve">teacher.courses (T1)</t>
  </si>
  <si>
    <t xml:space="preserve">إنشاء/تعديل كورس</t>
  </si>
  <si>
    <t xml:space="preserve">teacher-course</t>
  </si>
  <si>
    <t xml:space="preserve">teacher.course.$id + التبويبات</t>
  </si>
  <si>
    <t xml:space="preserve">حفظ تفاصيل/جدول</t>
  </si>
  <si>
    <t xml:space="preserve">teacher-group-students</t>
  </si>
  <si>
    <t xml:space="preserve">groupId,keyword</t>
  </si>
  <si>
    <t xml:space="preserve">group-students-tab (T3)</t>
  </si>
  <si>
    <t xml:space="preserve">teacher-lessons</t>
  </si>
  <si>
    <t xml:space="preserve">courseId,groupId</t>
  </si>
  <si>
    <t xml:space="preserve">lessons-tab (T4)</t>
  </si>
  <si>
    <t xml:space="preserve">إنشاء/تعديل/إلغاء درس + إعداد المجموعة</t>
  </si>
  <si>
    <t xml:space="preserve">خريطة الـ API (Swagger ↔ الكود)</t>
  </si>
  <si>
    <t xml:space="preserve">المصدر: Swagger_UI.pdf. «جاهز» = توجد دالة بالكود (لم تُجرَّب على الباك اند الحي). «عينة مطلوبة»: Swagger لا يوثّق schema الرد → المستخدم يلصق JSON حقيقيًا ثم يضع «نعم» في «وصلت العينة».</t>
  </si>
  <si>
    <t xml:space="preserve">Controller</t>
  </si>
  <si>
    <t xml:space="preserve">Method</t>
  </si>
  <si>
    <t xml:space="preserve">Path</t>
  </si>
  <si>
    <t xml:space="preserve">المعاملات / Body</t>
  </si>
  <si>
    <t xml:space="preserve">الرد الموثّق</t>
  </si>
  <si>
    <t xml:space="preserve">الدالة بالكود</t>
  </si>
  <si>
    <t xml:space="preserve">الملف</t>
  </si>
  <si>
    <t xml:space="preserve">حالة الربط</t>
  </si>
  <si>
    <t xml:space="preserve">عينة مطلوبة؟</t>
  </si>
  <si>
    <t xml:space="preserve">وصلت العينة؟</t>
  </si>
  <si>
    <t xml:space="preserve">Booking</t>
  </si>
  <si>
    <t xml:space="preserve">POST</t>
  </si>
  <si>
    <t xml:space="preserve">/api/Booking/Submit</t>
  </si>
  <si>
    <t xml:space="preserve">body: teacherId, subjectId, gradeId, teachingMode(1|2), date, startTime, durationMinutes(مثال 480), studentNote</t>
  </si>
  <si>
    <t xml:space="preserve">OperationResult</t>
  </si>
  <si>
    <t xml:space="preserve">submitBooking</t>
  </si>
  <si>
    <t xml:space="preserve">bookings.ts</t>
  </si>
  <si>
    <t xml:space="preserve">يحتاج تصحيح</t>
  </si>
  <si>
    <t xml:space="preserve">الرد موثّق (OperationResult) — المطلوب فقط تأكيد أن returnId = رقم الحجز الجديد (Q-21)؛ الكود القديم كان يتوقع BookingRow (D-01)</t>
  </si>
  <si>
    <t xml:space="preserve">/api/Booking/Decide</t>
  </si>
  <si>
    <t xml:space="preserve">body: bookingId, accept, rejectionReason</t>
  </si>
  <si>
    <t xml:space="preserve">decideBooking</t>
  </si>
  <si>
    <t xml:space="preserve">الكود يرسل approve بدل accept</t>
  </si>
  <si>
    <t xml:space="preserve">/api/Booking/Cancel</t>
  </si>
  <si>
    <t xml:space="preserve">query: bookingId, reason</t>
  </si>
  <si>
    <t xml:space="preserve">cancelBooking</t>
  </si>
  <si>
    <t xml:space="preserve">(بديل)</t>
  </si>
  <si>
    <t xml:space="preserve">الطالب يفضّل Student/CancelBooking</t>
  </si>
  <si>
    <t xml:space="preserve">/api/Booking/Complete</t>
  </si>
  <si>
    <t xml:space="preserve">query: bookingId</t>
  </si>
  <si>
    <t xml:space="preserve">completeBooking</t>
  </si>
  <si>
    <t xml:space="preserve">/api/Booking/Rate</t>
  </si>
  <si>
    <t xml:space="preserve">body: bookingId, ratingValue, review</t>
  </si>
  <si>
    <t xml:space="preserve">rateBooking</t>
  </si>
  <si>
    <t xml:space="preserve">الكود يرسل rating/comment</t>
  </si>
  <si>
    <t xml:space="preserve">GET</t>
  </si>
  <si>
    <t xml:space="preserve">/api/Booking/MyBookings</t>
  </si>
  <si>
    <t xml:space="preserve">غير موثّق</t>
  </si>
  <si>
    <t xml:space="preserve">listMyBookings</t>
  </si>
  <si>
    <t xml:space="preserve">يحتاج تحقق</t>
  </si>
  <si>
    <t xml:space="preserve">لا تستخدمه أي مهمة بالخطة (الطالب يستخدم Student/MyBookings)؛ لا عينة مطلوبة | ⚠️ 500 من Swagger بتاريخ 2026-10-03 (Q-22)</t>
  </si>
  <si>
    <t xml:space="preserve">/api/Booking/TeacherBookings</t>
  </si>
  <si>
    <t xml:space="preserve">query: status(1..6)</t>
  </si>
  <si>
    <t xml:space="preserve">listTeacherBookings</t>
  </si>
  <si>
    <t xml:space="preserve">الكود يرسل اسم الحالة نصًا؛ المطلوب رقم | ⚠️ 500 من Swagger بتاريخ 2026-10-03 (Q-22)</t>
  </si>
  <si>
    <t xml:space="preserve">/api/Booking/TeacherRescheduleRequests</t>
  </si>
  <si>
    <t xml:space="preserve">query: status(1..4)</t>
  </si>
  <si>
    <t xml:space="preserve">ناقص</t>
  </si>
  <si>
    <t xml:space="preserve">أسماء الحالات 1..4 غير موثّقة</t>
  </si>
  <si>
    <t xml:space="preserve">/api/Booking/DecideReschedule</t>
  </si>
  <si>
    <t xml:space="preserve">body: requestId, approve, rejectionReason</t>
  </si>
  <si>
    <t xml:space="preserve">Course</t>
  </si>
  <si>
    <t xml:space="preserve">/api/Course/GetPublished</t>
  </si>
  <si>
    <t xml:space="preserve">body: DataTable (searchValue, sortColumn, sortColumnDirection, pageSize, skip)</t>
  </si>
  <si>
    <t xml:space="preserve">غير موثّق (مربوط سابقًا)</t>
  </si>
  <si>
    <t xml:space="preserve">listPublishedCoursesPage</t>
  </si>
  <si>
    <t xml:space="preserve">courses.ts</t>
  </si>
  <si>
    <t xml:space="preserve">(عام)</t>
  </si>
  <si>
    <t xml:space="preserve">/api/Course/GetAll</t>
  </si>
  <si>
    <t xml:space="preserve">body: DataTable</t>
  </si>
  <si>
    <t xml:space="preserve">listAllCoursesForAdmin</t>
  </si>
  <si>
    <t xml:space="preserve">هل يفلتر حسب المعلم؟ (Q-01)</t>
  </si>
  <si>
    <t xml:space="preserve">/api/Course/GetById</t>
  </si>
  <si>
    <t xml:space="preserve">query: id</t>
  </si>
  <si>
    <t xml:space="preserve">getPublishedCourse</t>
  </si>
  <si>
    <t xml:space="preserve">/api/Course/GetMineById</t>
  </si>
  <si>
    <t xml:space="preserve">WP-T1, T2, T3, T4</t>
  </si>
  <si>
    <t xml:space="preserve">هل يرجع المجموعات/groupId؟ (Q-02)</t>
  </si>
  <si>
    <t xml:space="preserve">/api/Course/GetGroupStudents</t>
  </si>
  <si>
    <t xml:space="preserve">query: groupId, keyword</t>
  </si>
  <si>
    <t xml:space="preserve">الحقول المرجعة (اسم/هاتف/موقع؟)</t>
  </si>
  <si>
    <t xml:space="preserve">/api/Course/CreateEdit</t>
  </si>
  <si>
    <t xml:space="preserve">body: id, teacherId, subjectId, categoryId, title, description, price, deliveryType(1|2), maxStudents, groupName, gradeId, saveAsDraft</t>
  </si>
  <si>
    <t xml:space="preserve">teacherId مطلوب بالـ DTO (Q-03)</t>
  </si>
  <si>
    <t xml:space="preserve">/api/Course/ConfigureGroupSchedule</t>
  </si>
  <si>
    <t xml:space="preserve">body: groupId, maxStudents, courseStartDate, courseEndDate, defaultLessonDurationMinutes, scheduleDays[{dayOfWeek,startTime}]</t>
  </si>
  <si>
    <t xml:space="preserve">Lesson</t>
  </si>
  <si>
    <t xml:space="preserve">/api/Lesson/Create</t>
  </si>
  <si>
    <t xml:space="preserve">body: id, groupId, courseId, title, scheduledDate, startTime, durationMinutes, orderIndex, meetingPlatform, meetingUrl, meetingInstructions, room</t>
  </si>
  <si>
    <t xml:space="preserve">createLesson</t>
  </si>
  <si>
    <t xml:space="preserve">lessons.ts</t>
  </si>
  <si>
    <t xml:space="preserve">الكود يتوقع LessonRow</t>
  </si>
  <si>
    <t xml:space="preserve">PUT</t>
  </si>
  <si>
    <t xml:space="preserve">/api/Lesson/Update</t>
  </si>
  <si>
    <t xml:space="preserve">نفس Create</t>
  </si>
  <si>
    <t xml:space="preserve">updateLesson</t>
  </si>
  <si>
    <t xml:space="preserve">/api/Lesson/ConfigureMeeting</t>
  </si>
  <si>
    <t xml:space="preserve">body: lessonId, meetingPlatform, meetingUrl, meetingInstructions</t>
  </si>
  <si>
    <t xml:space="preserve">configureLessonMeeting</t>
  </si>
  <si>
    <t xml:space="preserve">/api/Lesson/Cancel</t>
  </si>
  <si>
    <t xml:space="preserve">body: lessonId, reason</t>
  </si>
  <si>
    <t xml:space="preserve">cancelLesson</t>
  </si>
  <si>
    <t xml:space="preserve">/api/Lesson/GetSchedule</t>
  </si>
  <si>
    <t xml:space="preserve">query: courseId, groupId</t>
  </si>
  <si>
    <t xml:space="preserve">getLessonSchedule</t>
  </si>
  <si>
    <t xml:space="preserve">Parent</t>
  </si>
  <si>
    <t xml:space="preserve">/api/Parent/MyChildren</t>
  </si>
  <si>
    <t xml:space="preserve">غير موثّق (النوع بالكود)</t>
  </si>
  <si>
    <t xml:space="preserve">getMyChildren</t>
  </si>
  <si>
    <t xml:space="preserve">parent.ts</t>
  </si>
  <si>
    <t xml:space="preserve">unreadNotificationsCount موجود بالنوع</t>
  </si>
  <si>
    <t xml:space="preserve">/api/Parent/ChildAttendance</t>
  </si>
  <si>
    <t xml:space="preserve">query: studentId, from, to</t>
  </si>
  <si>
    <t xml:space="preserve">getChildAttendance</t>
  </si>
  <si>
    <t xml:space="preserve">/api/Parent/ChildExamResults</t>
  </si>
  <si>
    <t xml:space="preserve">query: studentId</t>
  </si>
  <si>
    <t xml:space="preserve">getChildExamResults</t>
  </si>
  <si>
    <t xml:space="preserve">Student</t>
  </si>
  <si>
    <t xml:space="preserve">/api/Student/Dashboard</t>
  </si>
  <si>
    <t xml:space="preserve">getStudentDashboard</t>
  </si>
  <si>
    <t xml:space="preserve">student.ts</t>
  </si>
  <si>
    <t xml:space="preserve">activeCourses لـ WP-S6</t>
  </si>
  <si>
    <t xml:space="preserve">/api/Student/MyRequests</t>
  </si>
  <si>
    <t xml:space="preserve">getStudentMyRequests</t>
  </si>
  <si>
    <t xml:space="preserve">/api/Student/GetBooking</t>
  </si>
  <si>
    <t xml:space="preserve">هل يتضمن isRated/تفاصيل الدفع؟</t>
  </si>
  <si>
    <t xml:space="preserve">/api/Student/MyBookings</t>
  </si>
  <si>
    <t xml:space="preserve">getStudentMyBookings</t>
  </si>
  <si>
    <t xml:space="preserve">/api/Student/BookingPayment</t>
  </si>
  <si>
    <t xml:space="preserve">/api/Student/CancelBooking</t>
  </si>
  <si>
    <t xml:space="preserve">body: bookingId, reason</t>
  </si>
  <si>
    <t xml:space="preserve">/api/Student/RequestReschedule</t>
  </si>
  <si>
    <t xml:space="preserve">body: bookingId, proposedDate, proposedStartTime, note</t>
  </si>
  <si>
    <t xml:space="preserve">/api/Student/MyRescheduleRequests</t>
  </si>
  <si>
    <t xml:space="preserve">أسماء حالات الطلب</t>
  </si>
  <si>
    <t xml:space="preserve">/api/Student/Schedule</t>
  </si>
  <si>
    <t xml:space="preserve">query: From, To, CourseId, TeacherId, Mode(1|2)</t>
  </si>
  <si>
    <t xml:space="preserve">getStudentSchedule</t>
  </si>
  <si>
    <t xml:space="preserve">/api/Student/GetLesson</t>
  </si>
  <si>
    <t xml:space="preserve">/api/Student/GetCourse</t>
  </si>
  <si>
    <t xml:space="preserve">/api/Student/Attendance</t>
  </si>
  <si>
    <t xml:space="preserve">query: from, to, courseId</t>
  </si>
  <si>
    <t xml:space="preserve">/api/Student/ExamResults</t>
  </si>
  <si>
    <t xml:space="preserve">query: courseId</t>
  </si>
  <si>
    <t xml:space="preserve">/api/Student/Progress</t>
  </si>
  <si>
    <t xml:space="preserve">غير موثّق (StudentProgressDto بالكود)</t>
  </si>
  <si>
    <t xml:space="preserve">WP-S9, S7</t>
  </si>
  <si>
    <t xml:space="preserve">النوع موجود بالكود فقط</t>
  </si>
  <si>
    <t xml:space="preserve">/api/Student/Notifications</t>
  </si>
  <si>
    <t xml:space="preserve">query: unreadOnly, skip, pageSize</t>
  </si>
  <si>
    <t xml:space="preserve">getStudentNotifications</t>
  </si>
  <si>
    <t xml:space="preserve">(FR-S12)</t>
  </si>
  <si>
    <t xml:space="preserve">/api/Student/MarkNotificationRead</t>
  </si>
  <si>
    <t xml:space="preserve">markStudentNotificationRead</t>
  </si>
  <si>
    <t xml:space="preserve">Teacher</t>
  </si>
  <si>
    <t xml:space="preserve">/api/Teacher/Search</t>
  </si>
  <si>
    <t xml:space="preserve">body: TeacherSearchFilterDto</t>
  </si>
  <si>
    <t xml:space="preserve">searchTeachers</t>
  </si>
  <si>
    <t xml:space="preserve">teachers.ts</t>
  </si>
  <si>
    <t xml:space="preserve">/api/Teacher/PublicProfile</t>
  </si>
  <si>
    <t xml:space="preserve">getTeacherPublicProfile</t>
  </si>
  <si>
    <t xml:space="preserve">الأسماء فقط للمواد/الصفوف (بدون IDs)</t>
  </si>
  <si>
    <t xml:space="preserve">/api/Teacher/Availability</t>
  </si>
  <si>
    <t xml:space="preserve">query: teacherId, mode, date</t>
  </si>
  <si>
    <t xml:space="preserve">getTeacherAvailability</t>
  </si>
  <si>
    <t xml:space="preserve">/api/Teacher/SetAvailability</t>
  </si>
  <si>
    <t xml:space="preserve">body: slots[...]</t>
  </si>
  <si>
    <t xml:space="preserve">setMyTeacherAvailability</t>
  </si>
  <si>
    <t xml:space="preserve">(FR-T09)</t>
  </si>
  <si>
    <t xml:space="preserve">/api/Teacher/UpdateProfile</t>
  </si>
  <si>
    <t xml:space="preserve">body: TeacherProfileInputDto</t>
  </si>
  <si>
    <t xml:space="preserve">updateMyTeacherProfile</t>
  </si>
  <si>
    <t xml:space="preserve">(FR-T08)</t>
  </si>
  <si>
    <t xml:space="preserve">/api/Teacher/CreateEditModal</t>
  </si>
  <si>
    <t xml:space="preserve">getGradesList</t>
  </si>
  <si>
    <t xml:space="preserve">WP-T1, S1</t>
  </si>
  <si>
    <t xml:space="preserve">مصدر محتمل للصفوف والمواد (Q-04)</t>
  </si>
  <si>
    <t xml:space="preserve">Constant</t>
  </si>
  <si>
    <t xml:space="preserve">/api/Constant/GetAll</t>
  </si>
  <si>
    <t xml:space="preserve">(admin-constants.ts)</t>
  </si>
  <si>
    <t xml:space="preserve">admin-constants.ts</t>
  </si>
  <si>
    <t xml:space="preserve">مصدر محتمل لـ subjectId/categoryId (Q-04)</t>
  </si>
  <si>
    <t xml:space="preserve">Wallet</t>
  </si>
  <si>
    <t xml:space="preserve">/api/Wallet/MyWallet</t>
  </si>
  <si>
    <t xml:space="preserve">getMyWallet</t>
  </si>
  <si>
    <t xml:space="preserve">wallet.ts</t>
  </si>
  <si>
    <t xml:space="preserve">/api/Wallet/GetTransactionHistory</t>
  </si>
  <si>
    <t xml:space="preserve">getTransactionHistory</t>
  </si>
  <si>
    <t xml:space="preserve">WP-W1, W2</t>
  </si>
  <si>
    <t xml:space="preserve">بلا فلتر نوع من الباك اند</t>
  </si>
  <si>
    <t xml:space="preserve">/api/Wallet/SubmitTopUpRequest</t>
  </si>
  <si>
    <t xml:space="preserve">form: Amount, BankReferenceNo, ReceiptFile</t>
  </si>
  <si>
    <t xml:space="preserve">submitTopUpRequest</t>
  </si>
  <si>
    <t xml:space="preserve">(FR-W01)</t>
  </si>
  <si>
    <t xml:space="preserve">/api/Wallet/SubmitWithdrawalRequest</t>
  </si>
  <si>
    <t xml:space="preserve">body: amount, bankIBAN, bankName, accountHolderName</t>
  </si>
  <si>
    <t xml:space="preserve">submitWithdrawalRequest</t>
  </si>
  <si>
    <t xml:space="preserve">(FR-W04)</t>
  </si>
  <si>
    <t xml:space="preserve">*</t>
  </si>
  <si>
    <t xml:space="preserve">/api/Wallet/{GetPending*,VerifyTopUpRequest,DecideWithdrawalRequest,CompleteWithdrawal,GetReceiptImage}</t>
  </si>
  <si>
    <t xml:space="preserve">أدمن</t>
  </si>
  <si>
    <t xml:space="preserve">(wallet.ts)</t>
  </si>
  <si>
    <t xml:space="preserve">(أدمن)</t>
  </si>
  <si>
    <t xml:space="preserve">Auth/User/UserPermission/Page</t>
  </si>
  <si>
    <t xml:space="preserve">/api/Auth/*, /api/User/*, /api/UserPermission/*, /api/Page/*</t>
  </si>
  <si>
    <t xml:space="preserve">لم تُفحص ضمن هذه الخطة</t>
  </si>
  <si>
    <t xml:space="preserve">فروقات Swagger ↔ الكود الحالي</t>
  </si>
  <si>
    <t xml:space="preserve">تُغلق فروقات WP-00 قبل بدء Wave 1.</t>
  </si>
  <si>
    <t xml:space="preserve">المشكلة</t>
  </si>
  <si>
    <t xml:space="preserve">الإصلاح</t>
  </si>
  <si>
    <t xml:space="preserve">WP / المهمة</t>
  </si>
  <si>
    <t xml:space="preserve">D-01</t>
  </si>
  <si>
    <t xml:space="preserve">submitBooking: الكود يرسل {teacherId, courseId, date, startTime, durationMinutes} ويتوقع BookingRow؛ Swagger: {teacherId, subjectId, gradeId, teachingMode, date, startTime, durationMinutes, studentNote} والرد OperationResult</t>
  </si>
  <si>
    <t xml:space="preserve">إعادة تعريف BookingInput وقيمة الإرجاع</t>
  </si>
  <si>
    <t xml:space="preserve">WP-00 (00-01)</t>
  </si>
  <si>
    <t xml:space="preserve">حرج</t>
  </si>
  <si>
    <t xml:space="preserve">مفتوح</t>
  </si>
  <si>
    <t xml:space="preserve">D-02</t>
  </si>
  <si>
    <t xml:space="preserve">decideBooking يرسل approve؛ Swagger الحقل accept</t>
  </si>
  <si>
    <t xml:space="preserve">تغيير اسم الحقل</t>
  </si>
  <si>
    <t xml:space="preserve">D-03</t>
  </si>
  <si>
    <t xml:space="preserve">rateBooking يرسل rating/comment؛ Swagger ratingValue/review</t>
  </si>
  <si>
    <t xml:space="preserve">تغيير الحقول</t>
  </si>
  <si>
    <t xml:space="preserve">D-04</t>
  </si>
  <si>
    <t xml:space="preserve">cancelBooking لا يمرّر reason (query) ويتوقع BookingRow؛ كما يوجد Student/CancelBooking (body) غير مربوط</t>
  </si>
  <si>
    <t xml:space="preserve">تمرير reason + اعتماد Student/CancelBooking في واجهة الطالب</t>
  </si>
  <si>
    <t xml:space="preserve">WP-00 / WP-S2</t>
  </si>
  <si>
    <t xml:space="preserve">مهم</t>
  </si>
  <si>
    <t xml:space="preserve">D-05</t>
  </si>
  <si>
    <t xml:space="preserve">listTeacherBookings يرسل status كنص (Pending..)؛ Swagger رقم 1..6. وBookingStatus نصي هنا بينما رقمي بـ student.ts</t>
  </si>
  <si>
    <t xml:space="preserve">توحيد على الأرقام عبر enums.ts</t>
  </si>
  <si>
    <t xml:space="preserve">WP-00 (00-01, 00-07)</t>
  </si>
  <si>
    <t xml:space="preserve">D-06</t>
  </si>
  <si>
    <t xml:space="preserve">كل الدوال تتوقع LessonRow؛ Swagger يرجع OperationResult</t>
  </si>
  <si>
    <t xml:space="preserve">تغيير الإرجاع + assertOk</t>
  </si>
  <si>
    <t xml:space="preserve">WP-00 (00-03)</t>
  </si>
  <si>
    <t xml:space="preserve">D-07</t>
  </si>
  <si>
    <t xml:space="preserve">لا توجد دوال: CreateEdit, ConfigureGroupSchedule, GetGroupStudents, GetMineById</t>
  </si>
  <si>
    <t xml:space="preserve">إضافتها</t>
  </si>
  <si>
    <t xml:space="preserve">WP-00 (00-04)</t>
  </si>
  <si>
    <t xml:space="preserve">D-08</t>
  </si>
  <si>
    <t xml:space="preserve">غير موجودة: GetBooking, BookingPayment, CancelBooking, RequestReschedule, MyRescheduleRequests, GetLesson, GetCourse, Attendance, ExamResults, Progress</t>
  </si>
  <si>
    <t xml:space="preserve">WP-00 (00-05)</t>
  </si>
  <si>
    <t xml:space="preserve">D-09</t>
  </si>
  <si>
    <t xml:space="preserve">غير موجودة: TeacherRescheduleRequests, DecideReschedule</t>
  </si>
  <si>
    <t xml:space="preserve">WP-00 (00-02)</t>
  </si>
  <si>
    <t xml:space="preserve">D-10</t>
  </si>
  <si>
    <t xml:space="preserve">student.ts + lessons.ts</t>
  </si>
  <si>
    <t xml:space="preserve">MeetingPlatform معرّف مرتين</t>
  </si>
  <si>
    <t xml:space="preserve">توحيده بـ enums.ts</t>
  </si>
  <si>
    <t xml:space="preserve">WP-00 (00-07)</t>
  </si>
  <si>
    <t xml:space="preserve">D-11</t>
  </si>
  <si>
    <t xml:space="preserve">teacher.dashboard.tsx</t>
  </si>
  <si>
    <t xml:space="preserve">لوحة «طلبات الحجز» معطّلة بنص يشير لـ P0-1/P1-1 — قد لا يكون صحيحًا الآن بعد تحديث الباك اند</t>
  </si>
  <si>
    <t xml:space="preserve">التحقق ثم الاستبدال</t>
  </si>
  <si>
    <t xml:space="preserve">WP-T5 (T5-05)</t>
  </si>
  <si>
    <t xml:space="preserve">D-12</t>
  </si>
  <si>
    <t xml:space="preserve">teacher.courses.tsx</t>
  </si>
  <si>
    <t xml:space="preserve">placeholder «قيد التطوير» بنص P1-1/P1-3 قديم</t>
  </si>
  <si>
    <t xml:space="preserve">WP-T1 (T1-01)</t>
  </si>
  <si>
    <t xml:space="preserve">D-13</t>
  </si>
  <si>
    <t xml:space="preserve">teacher.$id.tsx</t>
  </si>
  <si>
    <t xml:space="preserve">زر الحجز معطّل بنص «غير مفعّل بالباك اند» — قديم</t>
  </si>
  <si>
    <t xml:space="preserve">تفعيله</t>
  </si>
  <si>
    <t xml:space="preserve">WP-S1 (S1-06)</t>
  </si>
  <si>
    <t xml:space="preserve">D-14</t>
  </si>
  <si>
    <t xml:space="preserve">bookings.ts / lessons.ts (تعليقات الرأس)</t>
  </si>
  <si>
    <t xml:space="preserve">تشير لملفات docs/operations/* غير موجودة بالـ zip وتصف حالة قديمة</t>
  </si>
  <si>
    <t xml:space="preserve">لا تُعتمد؛ المصدر الآن Swagger + SRS + هذا الملف</t>
  </si>
  <si>
    <t xml:space="preserve">معلومة</t>
  </si>
  <si>
    <t xml:space="preserve">D-15</t>
  </si>
  <si>
    <t xml:space="preserve">Swagger</t>
  </si>
  <si>
    <t xml:space="preserve">ردود GET وكثير من الـ POST بلا Schema موثّق (فقط OperationResult للكتابة)</t>
  </si>
  <si>
    <t xml:space="preserve">جمع عينات JSON حقيقية (Q-05)</t>
  </si>
  <si>
    <t xml:space="preserve">WP-00 (00-18)</t>
  </si>
  <si>
    <t xml:space="preserve">D-16</t>
  </si>
  <si>
    <t xml:space="preserve">SRS FR-W03a/b</t>
  </si>
  <si>
    <t xml:space="preserve">نص SRS يصف خصم رسوم «التسجيل» عند موافقة المعلم على طلب انضمام (Join Request) ولا يوجد endpoint انضمام/تسجيل في Swagger</t>
  </si>
  <si>
    <t xml:space="preserve">نفّذنا جانب العرض فقط + سؤال Q-19</t>
  </si>
  <si>
    <t xml:space="preserve">WP-W1/W2</t>
  </si>
  <si>
    <t xml:space="preserve">D-17</t>
  </si>
  <si>
    <t xml:space="preserve">audit report</t>
  </si>
  <si>
    <t xml:space="preserve">جدول التقرير يحوي 11 جاهز/5 جزئي بالأسطر وملخصه 11/6/13: صُنِّف FR-P08 جزئيًا لمطابقة الملخص</t>
  </si>
  <si>
    <t xml:space="preserve">تأكيد من المستخدم (Q-18)</t>
  </si>
  <si>
    <t xml:space="preserve">الأسئلة المفتوحة (تحتاج إجابة قبل/أثناء التنفيذ)</t>
  </si>
  <si>
    <t xml:space="preserve">«حاجب» = يوقف WPs معيّنة. «الافتراض الافتراضي» = ما يعمل به المطوّر لحين الإجابة. عند الإجابة: غيّر الحالة وسجّل الإجابة وحدّث المتأثرين.</t>
  </si>
  <si>
    <t xml:space="preserve">السؤال</t>
  </si>
  <si>
    <t xml:space="preserve">لماذا يهم</t>
  </si>
  <si>
    <t xml:space="preserve">يؤثر على</t>
  </si>
  <si>
    <t xml:space="preserve">الافتراض الافتراضي</t>
  </si>
  <si>
    <t xml:space="preserve">من يجيب</t>
  </si>
  <si>
    <t xml:space="preserve">الإجابة</t>
  </si>
  <si>
    <t xml:space="preserve">تاريخ الإجابة</t>
  </si>
  <si>
    <t xml:space="preserve">كيف يحصل المعلم على قائمة كورساته؟ هل Course/GetAll يفلتر حسب المعلم المسجَّل أم يرجع كل الكورسات؟</t>
  </si>
  <si>
    <t xml:space="preserve">بدونه لا تصح قائمة كورساتي (قد تُعرض كورسات معلمين آخرين)</t>
  </si>
  <si>
    <t xml:space="preserve">حاجب</t>
  </si>
  <si>
    <t xml:space="preserve">نستدعي GetAll ونفلتر محليًا بـ teacherId إذا توفر؛ وإلا نوقف المهمة</t>
  </si>
  <si>
    <t xml:space="preserve">فريق الباك اند</t>
  </si>
  <si>
    <t xml:space="preserve">تمت الإجابة</t>
  </si>
  <si>
    <t xml:space="preserve">Course/GetAll يفلتر كورسات المعلم لحسابات المعلمين (تحليل الكود) — لم يُجرَّب حيًا</t>
  </si>
  <si>
    <t xml:space="preserve">كيف نعرف groupId لكل كورس؟ ما شكل رد GetById/GetMineById؟ هل للكورس أكثر من مجموعة؟</t>
  </si>
  <si>
    <t xml:space="preserve">ConfigureGroupSchedule وGetGroupStudents وGetSchedule تحتاج groupId</t>
  </si>
  <si>
    <t xml:space="preserve">نفترض مجموعة واحدة ويُقرأ groupId من رد GetMineById</t>
  </si>
  <si>
    <t xml:space="preserve">Q-03</t>
  </si>
  <si>
    <t xml:space="preserve">هل Course/CreateEdit يأخذ teacherId من الجلسة أم يجب أن نرسله؟ وكيف يعرف المعلم رقم Teacher.Id الخاص به؟ (هل حُلّ ربط الحساب بالمعلم؟)</t>
  </si>
  <si>
    <t xml:space="preserve">الـDTO يتطلب teacherId</t>
  </si>
  <si>
    <t xml:space="preserve">لا نرسل teacherId إن كان الباك اند يتجاهله؛ نختبر بحساب معلم حقيقي</t>
  </si>
  <si>
    <t xml:space="preserve">من أين نجلب قوائم المواد/التصنيفات/الصفوف (IDs)؟ Teacher/CreateEditModal أم Constant/GetAll (وبأي parentId)؟ وهل ملف المعلم العام يرجّع IDs للمواد والصفوف؟</t>
  </si>
  <si>
    <t xml:space="preserve">نموذج الكورس ونموذج الحجز يتطلبان subjectId/gradeId/categoryId</t>
  </si>
  <si>
    <t xml:space="preserve">نقرأ من Teacher/CreateEditModal ونعرض رسالة صادقة إن كانت القوائم فارغة</t>
  </si>
  <si>
    <t xml:space="preserve">Q-05</t>
  </si>
  <si>
    <t xml:space="preserve">عينات JSON حقيقية لردود: Booking/MyBookings, TeacherBookings, TeacherRescheduleRequests · Student/GetBooking, GetLesson, GetCourse, Attendance, ExamResults, BookingPayment, MyRescheduleRequests · Course/GetGroupStudents, GetMineById, GetAll · Lesson/GetSchedule</t>
  </si>
  <si>
    <t xml:space="preserve">Swagger لا يوثّق schema لهذه الردود؛ الأنواع ستكون تخمينًا</t>
  </si>
  <si>
    <t xml:space="preserve">WP-00 + أغلب Wave 1</t>
  </si>
  <si>
    <t xml:space="preserve">أنواع متساهلة (حقول اختيارية) مع علامة TODO</t>
  </si>
  <si>
    <t xml:space="preserve">المستخدم (من Try it out)</t>
  </si>
  <si>
    <t xml:space="preserve">DTOs الردود متاحة من كود الباك اند (Acadimia.Infrastructure/Dtos)؛ التسلسل camelCase والـenums أرقام. التأكيد الحي اختياري</t>
  </si>
  <si>
    <t xml:space="preserve">متى يُخصم مبلغ الحجز بالضبط؟ عند قبول المعلم (كما في تعليق الكود وSRS FR-T06) أم عند الإرسال؟ وماذا يحدث لو رصيد الطالب غير كافٍ عند القبول؟</t>
  </si>
  <si>
    <t xml:space="preserve">يحدد نص الواجهة ومنطق تنبيه الرصيد</t>
  </si>
  <si>
    <t xml:space="preserve">WP-S1, S2, T5, W1</t>
  </si>
  <si>
    <t xml:space="preserve">نفترض الخصم عند قبول المعلم</t>
  </si>
  <si>
    <t xml:space="preserve">الخصم عند قبول المعلم (تحليل الكود)</t>
  </si>
  <si>
    <t xml:space="preserve">Q-07</t>
  </si>
  <si>
    <t xml:space="preserve">من يحق له Booking/Submit: الطالب فقط أم ولي الأمر أيضًا (باسم الابن)؟</t>
  </si>
  <si>
    <t xml:space="preserve">يحدد من يرى زر الحجز</t>
  </si>
  <si>
    <t xml:space="preserve">الطالب فقط</t>
  </si>
  <si>
    <t xml:space="preserve">صاحب المنتج</t>
  </si>
  <si>
    <t xml:space="preserve">Booking/Submit بلا قيد على نوع المستخدم (أي مستخدم مسجّل)؛ القرار الفعلي لصاحب المنتج</t>
  </si>
  <si>
    <t xml:space="preserve">Q-08</t>
  </si>
  <si>
    <t xml:space="preserve">سياسة الإلغاء: هل يرجع الباك اند الموعد النهائي/نص السياسة أم رسالة خطأ فقط؟ وهل يوجد استرجاع للمبلغ؟</t>
  </si>
  <si>
    <t xml:space="preserve">FR-S14 يطلب عرض السياسة عند الرفض</t>
  </si>
  <si>
    <t xml:space="preserve">نعرض رسالة الباك اند كما هي</t>
  </si>
  <si>
    <t xml:space="preserve">انظر ورقة 03 بتحليل الباك اند — الرفض يرجع رسالة</t>
  </si>
  <si>
    <t xml:space="preserve">Q-09</t>
  </si>
  <si>
    <t xml:space="preserve">قواعد أهلية إعادة الجدولة (الحالات المسموحة، المهلة، عدد المرات)؟</t>
  </si>
  <si>
    <t xml:space="preserve">منطق إظهار الزر</t>
  </si>
  <si>
    <t xml:space="preserve">Confirmed ولم يبدأ فقط</t>
  </si>
  <si>
    <t xml:space="preserve">قواعد الأهلية من BookingService (تحليل الكود)</t>
  </si>
  <si>
    <t xml:space="preserve">Q-10</t>
  </si>
  <si>
    <t xml:space="preserve">هل Student/GetBooking يرجع حقلًا يدل أن الحجز مُقيَّم سابقًا (isRated/rating)؟</t>
  </si>
  <si>
    <t xml:space="preserve">لإخفاء زر التقييم</t>
  </si>
  <si>
    <t xml:space="preserve">عادي</t>
  </si>
  <si>
    <t xml:space="preserve">نُظهر الزر لـ Completed ونعرض رسالة الباك اند عند التكرار</t>
  </si>
  <si>
    <t xml:space="preserve">GetBooking لا يحمل isRated؛ الباك اند يرفض التكرار</t>
  </si>
  <si>
    <t xml:space="preserve">Q-11</t>
  </si>
  <si>
    <t xml:space="preserve">عدد الإشعارات غير المقروءة بـ Parent/MyChildren: هل هو لكل ابن أم لحساب ولي الأمر؟ وهل يوجد endpoint لقائمة إشعارات ولي الأمر؟ (غير موجود بـ Swagger)</t>
  </si>
  <si>
    <t xml:space="preserve">SRS FR-P11 يطلب عدد إشعارات حساب ولي الأمر</t>
  </si>
  <si>
    <t xml:space="preserve">نعرض عدد الابن النشط + إجمالي الأبناء بتسمية واضحة</t>
  </si>
  <si>
    <t xml:space="preserve">unreadNotificationsCount لكل ابن (تحليل الكود)</t>
  </si>
  <si>
    <t xml:space="preserve">Q-12</t>
  </si>
  <si>
    <t xml:space="preserve">هل يوجد endpoint/حقل لنسبة العمولة أو ملخص الأرباح؟ (غير موجود بـ Swagger)</t>
  </si>
  <si>
    <t xml:space="preserve">FR-W03b: عرض صافي الإيداع</t>
  </si>
  <si>
    <t xml:space="preserve">لا نعرض أرقام عمولة؛ نص توضيحي فقط</t>
  </si>
  <si>
    <t xml:space="preserve">Q-14</t>
  </si>
  <si>
    <t xml:space="preserve">هل يتلقى المعلم إشعارات (طلب حجز جديد/طلب إعادة جدولة)؟ لا يوجد Teacher/Notifications بـ Swagger</t>
  </si>
  <si>
    <t xml:space="preserve">FR-T10 Trigger: «يستلم إشعارًا جديدًا»</t>
  </si>
  <si>
    <t xml:space="preserve">اعتماد قائمة الطلبات + شارة عدد على لوحة المعلم</t>
  </si>
  <si>
    <t xml:space="preserve">لا إشعارات معلم بـSwagger (تحليل الكود)</t>
  </si>
  <si>
    <t xml:space="preserve">Q-15</t>
  </si>
  <si>
    <t xml:space="preserve">ترتيب أيام الأسبوع في الواجهة: يبدأ بالسبت أم الأحد؟ (DayOfWeek: 0=الأحد)</t>
  </si>
  <si>
    <t xml:space="preserve">اتساق الجداول</t>
  </si>
  <si>
    <t xml:space="preserve">كل WP فيها أيام</t>
  </si>
  <si>
    <t xml:space="preserve">السبت أولًا (عُرف المنطقة) مع التخزين الرقمي كما هو</t>
  </si>
  <si>
    <t xml:space="preserve">Q-17</t>
  </si>
  <si>
    <t xml:space="preserve">حسابات اختبار جاهزة: معلم مربوط بصف Teacher، طالب مربوط بملف Student، ولي أمر له ابن، وبيانات حضور/امتحانات</t>
  </si>
  <si>
    <t xml:space="preserve">بدونها لا يمكن تنفيذ UAT/e2e</t>
  </si>
  <si>
    <t xml:space="preserve">المستخدم/الباك اند</t>
  </si>
  <si>
    <t xml:space="preserve">Q-18</t>
  </si>
  <si>
    <t xml:space="preserve">تأكيد تصنيف FR-P08 كـ «جزئي» (ليطابق ملخص التقرير 11 جاهز / 6 جزئي / 13 غير جاهز)</t>
  </si>
  <si>
    <t xml:space="preserve">اتساق النسب</t>
  </si>
  <si>
    <t xml:space="preserve">FR_Matrix</t>
  </si>
  <si>
    <t xml:space="preserve">FR-P08 جزئي</t>
  </si>
  <si>
    <t xml:space="preserve">Q-19</t>
  </si>
  <si>
    <t xml:space="preserve">SRS FR-W03a/b يصف خصم رسوم تسجيل عند موافقة المعلم على طلب انضمام؛ لا توجد endpoints انضمام/تسجيل بـ Swagger. هل المقصود مسار الحجز فقط؟</t>
  </si>
  <si>
    <t xml:space="preserve">يحدد نطاق FR-W03a/b على الواجهة</t>
  </si>
  <si>
    <t xml:space="preserve">نكتفي بمسار الحجز + عرض حركات المحفظة</t>
  </si>
  <si>
    <t xml:space="preserve">كود الباك اند فيه JoinRequestController (غير ظاهر بـSwagger المنشور) — النشر الحي أقدم من الكود</t>
  </si>
  <si>
    <t xml:space="preserve">Q-20</t>
  </si>
  <si>
    <t xml:space="preserve">الحدود الفعلية لحقول الإدخال: مدة الحجز (min/max)، مدة الدرس، أقصى طول لملاحظة الحجز/إعادة الجدولة/مراجعة التقييم/سبب الإلغاء</t>
  </si>
  <si>
    <t xml:space="preserve">الواجهة حاليًا تفترض 30..480 دقيقة حجز، 15..480 درس، 500/500/1000 حرف (R-14)</t>
  </si>
  <si>
    <t xml:space="preserve">WP-S1, S3, S4, T4</t>
  </si>
  <si>
    <t xml:space="preserve">نبقى على الافتراض وتُعرض رسالة الباك اند عند الرفض</t>
  </si>
  <si>
    <t xml:space="preserve">حجز 15..480 (مؤكّد بالكود)؛ بقية الحدود افتراضات واجهة</t>
  </si>
  <si>
    <t xml:space="preserve">Q-21</t>
  </si>
  <si>
    <t xml:space="preserve">هل Booking/Submit يرجّع returnId = رقم الحجز الجديد؟ (للانتقال إلى /booking/{id} بعد الإرسال)</t>
  </si>
  <si>
    <t xml:space="preserve">تصميم S1-05</t>
  </si>
  <si>
    <t xml:space="preserve">نفترض نعم؛ وإلا ننتقل لـ/my-courses</t>
  </si>
  <si>
    <t xml:space="preserve">returnId = رقم الحجز (تحليل الكود)</t>
  </si>
  <si>
    <t xml:space="preserve">Q-22</t>
  </si>
  <si>
    <t xml:space="preserve">⚠️ Booking/TeacherBookings?status=4 وBooking/MyBookings يرجّعان HTTP 500 من Swagger (Try it out، السبت 3 أكتوبر 2026 19:41/19:40 GMT، رد بلا جسم)</t>
  </si>
  <si>
    <t xml:space="preserve">عطل بالسيرفر وليس بالواجهة: يفسّر فشل لوحة المعلم/قوائم الحجز، ويمنع الحصول على عينة JSON لـNE-01. بحسب تعليق role-probe.ts كان يرجّع 500 لحساب معلم أيضًا</t>
  </si>
  <si>
    <t xml:space="preserve">WP-T5 (T5-01/04/06)، NE-01</t>
  </si>
  <si>
    <t xml:space="preserve">لا بديل: تبقى قوائم المعلم بحالة خطأ صادقة حتى الإصلاح</t>
  </si>
  <si>
    <t xml:space="preserve">فريق الباك اند (المطلوب: سجل الاستثناء للطلبين بنفس التوقيت + الحساب المستخدم + إصلاح الـ500)</t>
  </si>
  <si>
    <t xml:space="preserve">2026-10-09: كود النسخة الجديدة (Shared/New Version) يبني BookingDto بتعبير EF (BookingProjections.ToDto) والتعليق يذكر أن الدالة القديمة كانت تُرجع Teacher فارغًا ⇒ يبدو أن سبب 500 أُصلح؛ بانتظار تأكيد حي بعد النشر</t>
  </si>
  <si>
    <t xml:space="preserve">Q-02b</t>
  </si>
  <si>
    <t xml:space="preserve">⛔ groupId: Course/GetMineById وGetAll لا يرجّعان groupId (CourseListItemDto)، وCreateEdit ينشئ المجموعة تلقائيًا. ConfigureGroupSchedule وGetGroupStudents يتطلبان groupId. (Lesson/Create وGetSchedule يكفيهما courseId)</t>
  </si>
  <si>
    <t xml:space="preserve">تبويبا «المجموعة» و«الطلاب» لا يمكن تفعيلهما بدون تغيير بالباك اند</t>
  </si>
  <si>
    <t xml:space="preserve">WP-T2, T3</t>
  </si>
  <si>
    <t xml:space="preserve">اقتراح: إضافة groups[{id,name,maxStudents}] لـCourseListItemDto (أو endpoint Course/GetGroups?courseId)</t>
  </si>
  <si>
    <t xml:space="preserve">تأكيد من كود الباك اند الجديد: CourseListItemDto لا يحمل groups، وCourseService.CreateEdit ينشئ مجموعة تلقائيًا مع الكورس لكن لا شيء يرجّع رقمها</t>
  </si>
  <si>
    <t xml:space="preserve">Q-03b</t>
  </si>
  <si>
    <t xml:space="preserve">⛔ teacherId: CourseInputDto.TeacherId مطلوب ويُتحقَّق بملكيته، ولا يوجد endpoint يرجّع teacherId للمعلم الحالي (يمكن اشتقاقه من Course/GetAll لمن لديه كورس فقط)</t>
  </si>
  <si>
    <t xml:space="preserve">المعلم الجديد لا يستطيع إنشاء أول كورس</t>
  </si>
  <si>
    <t xml:space="preserve">اقتراح: اعتبار TeacherId اختياريًا بالسيرفر (يُحدَّد من الجلسة)، أو إرجاعه بـMyProfile/Teacher/Me</t>
  </si>
  <si>
    <t xml:space="preserve">CourseListItemDto.TeacherId موجود (يكفي لمعلم لديه كورس)، أما المعلم بلا كورسات فلا endpoint يعطيه رقمه؛ CourseController.CreateEdit يفحص OwnsTeacher(userId, input.TeacherId)</t>
  </si>
  <si>
    <t xml:space="preserve">Q-04b</t>
  </si>
  <si>
    <t xml:space="preserve">⛔ categoryId مطلوب بـCourseInputDto ولا يوجد endpoint يسرد التصنيفات (CourseCategories) أو المواد؛ SubjectId اختياري</t>
  </si>
  <si>
    <t xml:space="preserve">حفظ الكورس بنموذج T1 معطّل (قائمة التصنيفات)</t>
  </si>
  <si>
    <t xml:space="preserve">اقتراح: endpoint عام لقوائم التصنيفات والمواد (Course/Lookups)</t>
  </si>
  <si>
    <t xml:space="preserve">Q-23</t>
  </si>
  <si>
    <t xml:space="preserve">⛔ تحديد دور المستخدم: الواجهة تستدعي User/CreateEditModal?id=&lt;userId&gt; (admin-only) فيرجع 403 فيُعامَل الحساب «طالبًا افتراضيًا» ويظهر «بدون نوع». كل Student/* ترجع 403 لحساب ليس Student (RequireUserTypes)</t>
  </si>
  <si>
    <t xml:space="preserve">يفسّر «ما قدرنا نحمّل…» بصفحات الطالب، وقوائم تظهر للدور الخطأ</t>
  </si>
  <si>
    <t xml:space="preserve">كل الصفحات</t>
  </si>
  <si>
    <t xml:space="preserve">اقتراح: إضافة userTypeId إلى MyProfileDto/User/MyProfile أو endpoint /api/Auth/Me</t>
  </si>
  <si>
    <t xml:space="preserve">Q-24</t>
  </si>
  <si>
    <t xml:space="preserve">⚠️ قاعدة بيانات النشر الحي: Constants ParentId=5 يرجّع «أنثى» (7) فقط؛ «ذكر» (6) موجود بالـSeed بالكود لكنه غائب بالحي</t>
  </si>
  <si>
    <t xml:space="preserve">لا يمكن تسجيل طالب ذكر</t>
  </si>
  <si>
    <t xml:space="preserve">التسجيل</t>
  </si>
  <si>
    <t xml:space="preserve">فريق الباك اند (فحص جدول Constants / IsDeleted)</t>
  </si>
  <si>
    <t xml:space="preserve">Q-25</t>
  </si>
  <si>
    <t xml:space="preserve">✅ تسجيل ولي الأمر كان يرسل userTypeId=5 (غير صالح: Parent=4) فيرجع «خطأ في التحقق». صُحِّح بتحديث USER_TYPE_ID_TO_ROLE (1 admin, 2 student, 3 teacher, 4 parent) عند المستخدم</t>
  </si>
  <si>
    <t xml:space="preserve">المستخدم (طُبِّق)</t>
  </si>
  <si>
    <t xml:space="preserve">Q-26</t>
  </si>
  <si>
    <t xml:space="preserve">قيم BookingPaymentStatus الفعلية؟</t>
  </si>
  <si>
    <t xml:space="preserve">تسمية بطاقة الدفع وتنبيه الرصيد</t>
  </si>
  <si>
    <t xml:space="preserve">Unpaid=1, Paid=2, Refunded=3</t>
  </si>
  <si>
    <t xml:space="preserve">مؤكَّدة من Acadimia.Data/Enums: Unpaid=1, Paid=2, Refunded=3 (مطابقة للافتراض)</t>
  </si>
  <si>
    <t xml:space="preserve">Q-27</t>
  </si>
  <si>
    <t xml:space="preserve">سلوك Lesson/Update: هل يقبل تعديلًا جزئيًا؟</t>
  </si>
  <si>
    <t xml:space="preserve">تفعيل تعديل الدرس T4-04 من صف GetSchedule</t>
  </si>
  <si>
    <t xml:space="preserve">لا نكتب فوق قيم مجهولة</t>
  </si>
  <si>
    <t xml:space="preserve">LessonService.UpdateAsync يحدّث Title/ScheduledDate/StartTime/DurationMinutes فقط، ويحدّث حقول الاجتماع فقط لو != null، ويتجاهل OrderIndex وRoom؛ Lesson/Create: GroupId وCourseId اختياريان ويكفي أحدهما</t>
  </si>
  <si>
    <t xml:space="preserve">Q-28</t>
  </si>
  <si>
    <t xml:space="preserve">⚠️ القاعة (Room) لا تُحفظ أبدًا: LessonService.CreateAsync لا يضبط Room وUpdateAsync لا يحدّثه، بينما GetSchedule وStudentService يقرآنه</t>
  </si>
  <si>
    <t xml:space="preserve">دروس الحضوري تظهر «—»، والطالب يرى «الموقع غير متوفر» دائمًا</t>
  </si>
  <si>
    <t xml:space="preserve">WP-T4, S5</t>
  </si>
  <si>
    <t xml:space="preserve">الواجهة ترسل room لكنه يُهمل</t>
  </si>
  <si>
    <t xml:space="preserve">Q-29</t>
  </si>
  <si>
    <t xml:space="preserve">⚠️ أمني: Lesson/GetSchedule بلا فحص ملكية/نوع مستخدم، وعمود PlatformOrRoom للأونلاين يتضمن رابط الاجتماع «المنصة — الرابط»</t>
  </si>
  <si>
    <t xml:space="preserve">أي مستخدم مسجَّل يقرأ روابط اجتماعات أي كورس</t>
  </si>
  <si>
    <t xml:space="preserve">WP-T4, QA-09</t>
  </si>
  <si>
    <t xml:space="preserve">الواجهة تعرض اسم المنصة فقط</t>
  </si>
  <si>
    <t xml:space="preserve">Q-30</t>
  </si>
  <si>
    <t xml:space="preserve">طلب: إضافة status/orderIndex/meetingPlatform/meetingInstructions إلى صف Lesson/GetSchedule</t>
  </si>
  <si>
    <t xml:space="preserve">لتمييز الدروس الملغاة وتعبئة نافذة الاجتماع بقيمها الحالية</t>
  </si>
  <si>
    <t xml:space="preserve">الإلغاء يظهر لكل درس لم يبدأ؛ الباك اند يرفض المكرر برسالة عامة</t>
  </si>
  <si>
    <t xml:space="preserve">Q-31</t>
  </si>
  <si>
    <t xml:space="preserve">ضبط VITE_SITE_URL بـVercel: الافتراضي بالكود https://pixely-frame-magic.vercel.app بينما الموقع الحي academia-platform.vercel.app</t>
  </si>
  <si>
    <t xml:space="preserve">canonical/OG/sitemap قد تشير لدومين آخر</t>
  </si>
  <si>
    <t xml:space="preserve">SEO</t>
  </si>
  <si>
    <t xml:space="preserve">Q-32</t>
  </si>
  <si>
    <t xml:space="preserve">قرار: Sentry Replay داخل الحزمة الأولى (instrument.client.ts) — تحميله كسولًا أو إزالته لتحسين LCP/الـJS غير المستخدم (~291KiB)</t>
  </si>
  <si>
    <t xml:space="preserve">أداء الجوال 64/100 (FCP 5.2s, LCP 5.8s)</t>
  </si>
  <si>
    <t xml:space="preserve">الأداء</t>
  </si>
  <si>
    <t xml:space="preserve">نبقيه كما هو</t>
  </si>
  <si>
    <t xml:space="preserve">الافتراضات والمخاطر</t>
  </si>
  <si>
    <t xml:space="preserve">الأثر</t>
  </si>
  <si>
    <t xml:space="preserve">التخفيف / الإجراء</t>
  </si>
  <si>
    <t xml:space="preserve">R-01</t>
  </si>
  <si>
    <t xml:space="preserve">خطر</t>
  </si>
  <si>
    <t xml:space="preserve">بيئة التنفيذ هنا بلا اتصال شبكة: لا npm install ولا تشغيل typecheck/lint/vitest/dev server</t>
  </si>
  <si>
    <t xml:space="preserve">لا يمكن إثبات سلامة الكود تلقائيًا بالجلسة</t>
  </si>
  <si>
    <t xml:space="preserve">كل جلسة كود تنتهي بأمر يشغّله المستخدم محليًا: npm run validate، وتُسجَّل نتيجته بـ SessionLog قبل اعتبار المهمة «مكتملة»</t>
  </si>
  <si>
    <t xml:space="preserve">R-02</t>
  </si>
  <si>
    <t xml:space="preserve">عدم وجود schema لردود كثيرة (D-15/Q-05)</t>
  </si>
  <si>
    <t xml:space="preserve">أنواع تخمينية قد تنكسر</t>
  </si>
  <si>
    <t xml:space="preserve">أنواع بحقول اختيارية + قراءة دفاعية + استبدالها فور استلام العينات</t>
  </si>
  <si>
    <t xml:space="preserve">R-03</t>
  </si>
  <si>
    <t xml:space="preserve">تعارض في routeTree.gen.ts عند الدمج المتوازي</t>
  </si>
  <si>
    <t xml:space="preserve">يعطّل البناء</t>
  </si>
  <si>
    <t xml:space="preserve">كل routes تُنشأ كـ stubs في WP-00 فيُولَّد مرة واحدة؛ عند التعارض: احذف وأعد التوليد</t>
  </si>
  <si>
    <t xml:space="preserve">R-04</t>
  </si>
  <si>
    <t xml:space="preserve">تعديل ملف تعاوني من جلستين</t>
  </si>
  <si>
    <t xml:space="preserve">تعارضات دمج</t>
  </si>
  <si>
    <t xml:space="preserve">FileOwnership + عمود ⚠ مكرر + طلبات التغيير</t>
  </si>
  <si>
    <t xml:space="preserve">R-05</t>
  </si>
  <si>
    <t xml:space="preserve">تعارض تحديث ملف الإكسل نفسه من جلسات متوازية</t>
  </si>
  <si>
    <t xml:space="preserve">فقدان تحديثات</t>
  </si>
  <si>
    <t xml:space="preserve">كاتب واحد للتتبع (المنسّق). الجلسات ترسل «تقريرًا» بصيغة SessionLog فقط</t>
  </si>
  <si>
    <t xml:space="preserve">R-06</t>
  </si>
  <si>
    <t xml:space="preserve">افتراض</t>
  </si>
  <si>
    <t xml:space="preserve">ملفات docs/** و.claude/** المذكورة بـ CLAUDE.md/ATLAS غير موجودة بالـ zip، وهي قديمة بحسب المستخدم</t>
  </si>
  <si>
    <t xml:space="preserve">لا اعتماد عليها</t>
  </si>
  <si>
    <t xml:space="preserve">المصادر المعتمدة: Swagger + SRS + تقرير الجاهزية + هذا الملف</t>
  </si>
  <si>
    <t xml:space="preserve">R-07</t>
  </si>
  <si>
    <t xml:space="preserve">«جاهز» بـ API_Map يعني وجود دالة بالكود وليس تجربتها فعليًا على الباك اند الحي</t>
  </si>
  <si>
    <t xml:space="preserve">قد تظهر فروقات وقت التشغيل</t>
  </si>
  <si>
    <t xml:space="preserve">تأكيد بالـ UAT</t>
  </si>
  <si>
    <t xml:space="preserve">R-08</t>
  </si>
  <si>
    <t xml:space="preserve">القائمة الجانبية تحدد الوحدة النشطة بـ startsWith على مسارات PAGES</t>
  </si>
  <si>
    <t xml:space="preserve">صفحات التفاصيل لا تفتح مجموعتها</t>
  </si>
  <si>
    <t xml:space="preserve">مهمة اختيارية 00-19</t>
  </si>
  <si>
    <t xml:space="preserve">R-09</t>
  </si>
  <si>
    <t xml:space="preserve">روابط الاجتماع قد تُحقن بـ javascript:</t>
  </si>
  <si>
    <t xml:space="preserve">ثغرة XSS</t>
  </si>
  <si>
    <t xml:space="preserve">isHttpUrl إلزامي بكل عرض/إدخال رابط (T4, S5) + مراجعة QA-09</t>
  </si>
  <si>
    <t xml:space="preserve">R-10</t>
  </si>
  <si>
    <t xml:space="preserve">القاعدة الحاكمة بـ CLAUDE.md (Truth Rule): لا تُظهر الواجهة نشاطًا غير حقيقي</t>
  </si>
  <si>
    <t xml:space="preserve">يؤثر على W2/P1</t>
  </si>
  <si>
    <t xml:space="preserve">حالات فراغ صادقة ولا أرقام مخترعة</t>
  </si>
  <si>
    <t xml:space="preserve">R-11</t>
  </si>
  <si>
    <t xml:space="preserve">التطبيق يستخدم TanStack Start (file-based routing) ومكوّنات shadcn/radix بدون Tabs وبدون date-picker</t>
  </si>
  <si>
    <t xml:space="preserve">تصميم الواجهات</t>
  </si>
  <si>
    <t xml:space="preserve">SegmentedTabs جديد + input type=date/time الأصلي</t>
  </si>
  <si>
    <t xml:space="preserve">R-13</t>
  </si>
  <si>
    <t xml:space="preserve">وضع ملف اختبار داخل src/routes يجعل TanStack Router يعتبره route</t>
  </si>
  <si>
    <t xml:space="preserve">يكسر البناء/يولّد route وهمي</t>
  </si>
  <si>
    <t xml:space="preserve">اختبارات الصفحات في src/test-units/ (vitest يلتقطها عبر src/**/*.test.ts)</t>
  </si>
  <si>
    <t xml:space="preserve">R-12</t>
  </si>
  <si>
    <t xml:space="preserve">ملف تنسيق prettier/eslint صارم (validate)</t>
  </si>
  <si>
    <t xml:space="preserve">فشل CI</t>
  </si>
  <si>
    <t xml:space="preserve">تشغيل npm run format قبل الـ PR</t>
  </si>
  <si>
    <t xml:space="preserve">R-14</t>
  </si>
  <si>
    <t xml:space="preserve">حدود واجهية افتراضية غير موثّقة بالباك اند: مدة الحجز 30..480 دقيقة (مثال Swagger)، مدة الدرس 15..480 (T4)، ملاحظة الحجز/إعادة الجدولة 500 حرف، مراجعة التقييم 1000</t>
  </si>
  <si>
    <t xml:space="preserve">رفض من الباك اند بحدود مختلفة</t>
  </si>
  <si>
    <t xml:space="preserve">الباك اند مرجع نهائي وتُعرض رسالته؛ تأكيد الحدود بـQ جديد عند أول رفض</t>
  </si>
  <si>
    <t xml:space="preserve">R-15</t>
  </si>
  <si>
    <t xml:space="preserve">BOOKING_FLOW_ENABLED=false بـlib/booking-slots.ts: شاشة /book/$teacherId تعرض الأوقات والسعر لكن الإرسال مغلق عمدًا حتى S1-03 (Q-04) وS1-05</t>
  </si>
  <si>
    <t xml:space="preserve">لا يوجد حجز فعلي بعد</t>
  </si>
  <si>
    <t xml:space="preserve">عدم قلب العلم قبل ربط المادة/الصف وإرسال Booking/Submit</t>
  </si>
  <si>
    <t xml:space="preserve">R-16</t>
  </si>
  <si>
    <t xml:space="preserve">اختبارات تستورد client.ts/wallet.ts (parent.report وteacher.earnings) لم تُشغَّل بأداة Claude (تعتمد import.meta.env الخاص بـVite)</t>
  </si>
  <si>
    <t xml:space="preserve">فجوة تحقق</t>
  </si>
  <si>
    <t xml:space="preserve">تشغيلها بـvitest الحقيقي ضمن npm run validate</t>
  </si>
  <si>
    <t xml:space="preserve">R-17</t>
  </si>
  <si>
    <t xml:space="preserve">فحص Claude = tsc مع stubs للمكتبات الخارجية + تشغيل اختبارات النقي (102 فحصًا نجح): تقريبي لا يغني عن validate/lint/prettier</t>
  </si>
  <si>
    <t xml:space="preserve">أخطاء أنواع/تنسيق قد تظهر محليًا</t>
  </si>
  <si>
    <t xml:space="preserve">npm run format &amp;&amp; npm run validate قبل اعتماد أي مهمة</t>
  </si>
  <si>
    <t xml:space="preserve">R-18</t>
  </si>
  <si>
    <t xml:space="preserve">CI على GitHub (PR #59) فشل بخطوة npm test: 3 اختبارات من role-probe.test.ts (describe probeRole). الملف خارج خطتنا (من عمل المستخدم على تحديد الدور) ولم أستطع تكرار الفشل بمحاكاة المنطق (نجحت)</t>
  </si>
  <si>
    <t xml:space="preserve">CI أحمر يمنع الدمج</t>
  </si>
  <si>
    <t xml:space="preserve">المستخدم يشغّل npx vitest run src/integrations/backend/role-probe.test.ts ويرسل رسالة AssertionError؛ ثم نحدد السبب (احتمال: الفرق بين فرع PR وmain، أو بيئة CI)</t>
  </si>
  <si>
    <t xml:space="preserve">R-19</t>
  </si>
  <si>
    <t xml:space="preserve">المستودع الحالي (PR #59) يعدّل ملفات كانت «مجمّدة»/خارج الخطة: dashboard.tsx, auth.ts, bi.ts, use-can-view.ts, __root.tsx, app-sidebar.tsx, ar/en.json… وفيه role-probe.ts/user-types.ts</t>
  </si>
  <si>
    <t xml:space="preserve">قد تتعارض مع تسليماتنا</t>
  </si>
  <si>
    <t xml:space="preserve">لم تُراجَع بعد؛ تُسجَّل عند طلب المستخدم</t>
  </si>
  <si>
    <t xml:space="preserve">طلبات التغيير على الملفات/العقود المشتركة (CR)</t>
  </si>
  <si>
    <t xml:space="preserve">إذا احتاج WP تعديل ملف لا يملكه أو تغيير توقيع في Contracts: يضيف صفًا هنا ولا يعدّل الملف. المنسّق يقرر. الصف الأول مثال توضيحي (حالته «مثال» ولا يُحسب).</t>
  </si>
  <si>
    <t xml:space="preserve">CR</t>
  </si>
  <si>
    <t xml:space="preserve">WP الطالب</t>
  </si>
  <si>
    <t xml:space="preserve">الملف / العقد</t>
  </si>
  <si>
    <t xml:space="preserve">التغيير المطلوب</t>
  </si>
  <si>
    <t xml:space="preserve">السبب</t>
  </si>
  <si>
    <t xml:space="preserve">قرار/تاريخ</t>
  </si>
  <si>
    <t xml:space="preserve">CR-000</t>
  </si>
  <si>
    <t xml:space="preserve">2026-10-01</t>
  </si>
  <si>
    <t xml:space="preserve">WP-W2 (مثال)</t>
  </si>
  <si>
    <t xml:space="preserve">إضافة prop اختيارية highlightTypes?: number[]</t>
  </si>
  <si>
    <t xml:space="preserve">لإبراز حركات الأرباح بلا تكرار الكود</t>
  </si>
  <si>
    <t xml:space="preserve">مثال</t>
  </si>
  <si>
    <t xml:space="preserve">احذف هذا الصف عند أول CR حقيقي</t>
  </si>
  <si>
    <t xml:space="preserve">CR-001</t>
  </si>
  <si>
    <t xml:space="preserve">integrations/backend/lessons.ts (LessonInput)</t>
  </si>
  <si>
    <t xml:space="preserve">جعل groupId اختياريًا: groupId?: number | null</t>
  </si>
  <si>
    <t xml:space="preserve">Lesson/Create يكفيه courseId (Q-02b/Q-27)؛ لا نخمّن groupId</t>
  </si>
  <si>
    <t xml:space="preserve">طُبّق بالكود؛ بانتظار موافقة المنسّق</t>
  </si>
  <si>
    <t xml:space="preserve">CR-002</t>
  </si>
  <si>
    <t xml:space="preserve">إضافة RescheduleStatus + BookingPaymentStatus + CourseStatus مع التسميات والنغمات</t>
  </si>
  <si>
    <t xml:space="preserve">لا enum بديل بالمشروع؛ طلبه HANDOFF لـRescheduleStatus</t>
  </si>
  <si>
    <t xml:space="preserve">إضافة فقط؛ لا تغيير لما هو موجود</t>
  </si>
  <si>
    <t xml:space="preserve">CR-003</t>
  </si>
  <si>
    <t xml:space="preserve">components/teacher/lesson-form-schema.ts + lesson-form-dialog.tsx</t>
  </si>
  <si>
    <t xml:space="preserve">validateLessonForm(…, {editing}) + title_length (3..250) + meetingUrl فاضٍ = null + lessonRowToValues</t>
  </si>
  <si>
    <t xml:space="preserve">تفعيل تعديل الدرس والتوافق مع StringLength(3..250) وسلوك Update (null = إبقاء)</t>
  </si>
  <si>
    <t xml:space="preserve">طُبّق بالكود؛ اختبارات في test-units/teacher-courses.test.ts</t>
  </si>
  <si>
    <t xml:space="preserve">CR-004</t>
  </si>
  <si>
    <t xml:space="preserve">components/teacher/course-seams.ts</t>
  </si>
  <si>
    <t xml:space="preserve">resolveCourseDeliveryType يقرأ deliveryType من الرد (1|2) بدل null</t>
  </si>
  <si>
    <t xml:space="preserve">CourseListItemDto.deliveryType متاح (J-05)</t>
  </si>
  <si>
    <t xml:space="preserve">resolveGroupId/courseToDraft بلا تغيير</t>
  </si>
  <si>
    <t xml:space="preserve">CR-005</t>
  </si>
  <si>
    <t xml:space="preserve">عام (أداء)</t>
  </si>
  <si>
    <t xml:space="preserve">routes/__root.tsx, components/site/cookie-consent.tsx, lib/analytics.ts, styles.css, scripts/generate-sitemap.mjs, package.json</t>
  </si>
  <si>
    <t xml:space="preserve">خطوط Google بلا حجب للرسم؛ تأخير بانر الكوكيز 3ث؛ posthog-js بـimport() ديناميكي بعد الموافقة؛ hero-bob عبر translate؛ حذف /pricing من sitemap؛ engines=22.x</t>
  </si>
  <si>
    <t xml:space="preserve">PageSpeed جوال 64: FCP 5.2s وLCP 5.8s (عنصر LCP = نص بانر الكوكيز) + ‎291KiB JS غير مستخدم + تحذير sitemap/pricing + تحذير Vercel engines</t>
  </si>
  <si>
    <t xml:space="preserve">يحتاج قرار: Sentry Replay (Q-32)</t>
  </si>
  <si>
    <t xml:space="preserve">CR-006</t>
  </si>
  <si>
    <t xml:space="preserve">CR-007</t>
  </si>
  <si>
    <t xml:space="preserve">CR-008</t>
  </si>
  <si>
    <t xml:space="preserve">CR-009</t>
  </si>
  <si>
    <t xml:space="preserve">CR-010</t>
  </si>
  <si>
    <t xml:space="preserve">CR-011</t>
  </si>
  <si>
    <t xml:space="preserve">CR-012</t>
  </si>
  <si>
    <t xml:space="preserve">CR-013</t>
  </si>
  <si>
    <t xml:space="preserve">CR-014</t>
  </si>
  <si>
    <t xml:space="preserve">CR-015</t>
  </si>
  <si>
    <t xml:space="preserve">CR-016</t>
  </si>
  <si>
    <t xml:space="preserve">CR-017</t>
  </si>
  <si>
    <t xml:space="preserve">CR-018</t>
  </si>
  <si>
    <t xml:space="preserve">CR-019</t>
  </si>
  <si>
    <t xml:space="preserve">CR-020</t>
  </si>
  <si>
    <t xml:space="preserve">CR-021</t>
  </si>
  <si>
    <t xml:space="preserve">CR-022</t>
  </si>
  <si>
    <t xml:space="preserve">CR-023</t>
  </si>
  <si>
    <t xml:space="preserve">CR-024</t>
  </si>
  <si>
    <t xml:space="preserve">CR-025</t>
  </si>
  <si>
    <t xml:space="preserve">CR-026</t>
  </si>
  <si>
    <t xml:space="preserve">CR-027</t>
  </si>
  <si>
    <t xml:space="preserve">CR-028</t>
  </si>
  <si>
    <t xml:space="preserve">CR-029</t>
  </si>
  <si>
    <t xml:space="preserve">CR-030</t>
  </si>
  <si>
    <t xml:space="preserve">CR-031</t>
  </si>
  <si>
    <t xml:space="preserve">CR-032</t>
  </si>
  <si>
    <t xml:space="preserve">CR-033</t>
  </si>
  <si>
    <t xml:space="preserve">CR-034</t>
  </si>
  <si>
    <t xml:space="preserve">CR-035</t>
  </si>
  <si>
    <t xml:space="preserve">سجل الجلسات (Append-only)</t>
  </si>
  <si>
    <t xml:space="preserve">لا تحذف صفوفًا قديمة. كل تقرير جلسة يُضاف كصف جديد بالصيغة الموحّدة (انظر README).</t>
  </si>
  <si>
    <t xml:space="preserve">المنفّذ</t>
  </si>
  <si>
    <t xml:space="preserve">الملخص</t>
  </si>
  <si>
    <t xml:space="preserve">المهام (ID: الحالة)</t>
  </si>
  <si>
    <t xml:space="preserve">الملفات المعدّلة</t>
  </si>
  <si>
    <t xml:space="preserve">نتيجة npm run validate</t>
  </si>
  <si>
    <t xml:space="preserve">افتراضات/أسئلة جديدة</t>
  </si>
  <si>
    <t xml:space="preserve">CRs</t>
  </si>
  <si>
    <t xml:space="preserve">الخطوة التالية</t>
  </si>
  <si>
    <t xml:space="preserve">نسخة التتبع بعدها</t>
  </si>
  <si>
    <t xml:space="preserve">Session-0 (تخطيط)</t>
  </si>
  <si>
    <t xml:space="preserve">Claude (المنسّق)</t>
  </si>
  <si>
    <t xml:space="preserve">قراءة SRS + تقرير الجاهزية + Swagger + zip الفرونت؛ بناء ملف التتبع هذا. لم تُكتب أي أسطر كود.</t>
  </si>
  <si>
    <t xml:space="preserve">غير منفَّذ (لا شبكة بالبيئة)</t>
  </si>
  <si>
    <t xml:space="preserve">R-01..R-12, Q-01..Q-19, D-01..D-17</t>
  </si>
  <si>
    <t xml:space="preserve">1) المستخدم يجيب Q حاجبة ويلصق عينات JSON (Q-05). 2) تشغيل WP-00 (جلسة واحدة). 3) إطلاق Wave 1 بالتوازي.</t>
  </si>
  <si>
    <t xml:space="preserve">v1.0</t>
  </si>
  <si>
    <t xml:space="preserve">Session-0b (تخطيط)</t>
  </si>
  <si>
    <t xml:space="preserve">قرار: Claude ينفّذ WP-00 كاملًا بلا JSON؛ عزل المعتمد على JSON في WP-J؛ إضافة عمودي «يعتمد على JSON؟» و«بوابة البدء» وورقة Availability؛ ترشيح WP-P1 وWP-W2 للبدء الآن.</t>
  </si>
  <si>
    <t xml:space="preserve">Tasks, WorkPackages, Contracts, Availability (لا كود)</t>
  </si>
  <si>
    <t xml:space="preserve">غير منفَّذ</t>
  </si>
  <si>
    <t xml:space="preserve">Claude يبدأ WP-00؛ المستخدم يبدأ WP-P1/WP-W2</t>
  </si>
  <si>
    <t xml:space="preserve">v1.9</t>
  </si>
  <si>
    <t xml:space="preserve">WP-00 (تنفيذ)</t>
  </si>
  <si>
    <t xml:space="preserve">تسليم WP-00: 17 مهمة منفّذة (طبقة API + enums/format/query-keys/booking-rules + UI مشتركة + 9 route stubs + مكونات stubs + my-courses لوحات + sidebar). لا يوجد JSON مخمَّن: كل رد غير موثّق = PendingResponse.</t>
  </si>
  <si>
    <t xml:space="preserve">00-01..00-16, 00-19, 00-21: قيد المراجعة | 00-17: قيد التنفيذ (المستخدم) | 00-20: لم يبدأ</t>
  </si>
  <si>
    <t xml:space="preserve">wp-00-files.zip (49 ملفًا)</t>
  </si>
  <si>
    <t xml:space="preserve">غير منفَّذ (لا شبكة) — بانتظار 00-17</t>
  </si>
  <si>
    <t xml:space="preserve">Q-15 افتراض: السبت أول الأسبوع</t>
  </si>
  <si>
    <t xml:space="preserve">المستخدم: 00-17. ثم بدء مهام Wave 1 من الفئة A/B (انظر Availability).</t>
  </si>
  <si>
    <t xml:space="preserve">A-user (P1+W2)</t>
  </si>
  <si>
    <t xml:space="preserve">WP-P1, WP-W2</t>
  </si>
  <si>
    <t xml:space="preserve">تسليم WP-P1 (7/7) وWP-W2 (4/4): تقرير ولي الأمر (إشعارات/403/حالة الحضور/قراءة فقط)، إعدادات ولي الأمر، أرباح المعلم (آخر 50 إيداعًا + نص العمولة + مراحل السحب). فحصتُ أنواع الملفات بـtsc مع stubs للمكتبات الخارجية: لا أخطاء حقيقية.</t>
  </si>
  <si>
    <t xml:space="preserve">P1-01..P1-07, W2-01..W2-04: قيد المراجعة</t>
  </si>
  <si>
    <t xml:space="preserve">parent.report.tsx, parent.settings.tsx, teacher.earnings.tsx, lib/parent-report.ts, lib/earnings.ts, lib/query-keys.ts (+qk.teacherEarningsCredits), test-units/*</t>
  </si>
  <si>
    <t xml:space="preserve">غير منفَّذ (لا شبكة) — بانتظار المستخدم</t>
  </si>
  <si>
    <t xml:space="preserve">المستخدم: 17 مهمة (T/W1/S9). Claude: 19 مهمة (S1..S8).</t>
  </si>
  <si>
    <t xml:space="preserve">A-claude + A-user (Phase A)</t>
  </si>
  <si>
    <t xml:space="preserve">S1..S8, T1/T2/T4/T5, W1, S9</t>
  </si>
  <si>
    <t xml:space="preserve">تسليم Phase A: 36 مهمة (17 للمستخدم + 19 لـClaude). فحص نصف المستخدم بـtsc/اختبارات: لا أخطاء حقيقية (27 اختبارًا نجح). نصف Claude: 23 ملفًا (نوافذ إلغاء/إعادة جدولة/تقييم، لوحات كورساتي، الجدول بفلاتر وانضمام آمن، بطاقة الحضور، شاشة الحجز).</t>
  </si>
  <si>
    <t xml:space="preserve">36 مهمة: قيد المراجعة (كل مهام Phase A)</t>
  </si>
  <si>
    <t xml:space="preserve">wave1-claude-half-files.zip + wave1-half-claude-files.zip</t>
  </si>
  <si>
    <t xml:space="preserve">R-14..R-17</t>
  </si>
  <si>
    <t xml:space="preserve">المستخدم: npm run dev → format → validate ثم commit. بعدها J (عينات JSON) لفتح مهام C.</t>
  </si>
  <si>
    <t xml:space="preserve">تخطيط (Phase B/C)</t>
  </si>
  <si>
    <t xml:space="preserve">إعادة تصنيف 6 مهام من B إلى C (ما بقي فيها جوهر بلا JSON)؛ إضافة ورقة BackendChecklist (13 عنصرًا) وعمودي «ينتظر (NE)» و«حالة الاعتماد» بـTasks؛ إضافة Q-20 وQ-21.</t>
  </si>
  <si>
    <t xml:space="preserve">هذا الملف فقط (لا كود)</t>
  </si>
  <si>
    <t xml:space="preserve">Q-20, Q-21</t>
  </si>
  <si>
    <t xml:space="preserve">تعبئة BackendChecklist عند وصول العينات؛ بدء مهام B الـ11 (seam) إن رغبت.</t>
  </si>
  <si>
    <t xml:space="preserve">تخطيط (Backend)</t>
  </si>
  <si>
    <t xml:space="preserve">تصحيح عدد العينات المطلوبة من 17 إلى 15 (Booking/Submit له رد موثّق، وBooking/MyBookings لا تستخدمه أي مهمة)؛ إضافة NE-14 (تحقق اختياري من أنواع موجودة).</t>
  </si>
  <si>
    <t xml:space="preserve">هذا الملف فقط</t>
  </si>
  <si>
    <t xml:space="preserve">إرسال BackendChecklist لفريق الباك اند.</t>
  </si>
  <si>
    <t xml:space="preserve">B (Claude)</t>
  </si>
  <si>
    <t xml:space="preserve">WP-T1, T2, T4, T5</t>
  </si>
  <si>
    <t xml:space="preserve">تسليم 11 مهمة B: نموذج الكورس، نموذج إعداد المجموعة، نافذة الاجتماع، نافذتا قبول/رفض وإنهاء الحجز + 10 ملفات جديدة. 140 فحصًا نقيًا نجح (tsc مع stubs). إضافة Q-22 (500 بـTeacherBookings/MyBookings من لقطات Swagger) وR-18/R-19 (CI وPR #59).</t>
  </si>
  <si>
    <t xml:space="preserve">B الـ11: قيد المراجعة</t>
  </si>
  <si>
    <t xml:space="preserve">wave1-claude-B-files.zip (15 ملفًا)</t>
  </si>
  <si>
    <t xml:space="preserve">Q-22, R-18, R-19</t>
  </si>
  <si>
    <t xml:space="preserve">المستخدم: نسخ الـzip + validate + إرسال خطأ role-probe. ثم الحاجز الأكبر: عينات JSON وQ-22.</t>
  </si>
  <si>
    <t xml:space="preserve">دمج B + كود الباك اند</t>
  </si>
  <si>
    <t xml:space="preserve">WP-J, T1, T2, T4, T5, S1</t>
  </si>
  <si>
    <t xml:space="preserve">دمج B مع آخر نسخة عندك (36 ملفًا: 20 جديد و16 معدَّل، تعارضان فقط حُسما). أنواع J-01..J-06 من DTOs كود الباك اند. تفعيل إرسال الحجز (SubjectId/GradeId اختياريان). shell الكورس يعمل بوضع new. إضافة load-error (يعرض رمز الاستجابة). إصلاح role-probe.test (fetcher عادي بدل vi.fn). اكتشاف أسباب الفشل: Q-22 وQ-23 وQ-24 وQ-25.</t>
  </si>
  <si>
    <t xml:space="preserve">J-01..J-06، S1-05: قيد المراجعة؛ S1-03: ملغاة</t>
  </si>
  <si>
    <t xml:space="preserve">wave1-claude-B-MERGED-files.zip (36 ملفًا)</t>
  </si>
  <si>
    <t xml:space="preserve">غير منفَّذ (لا شبكة)</t>
  </si>
  <si>
    <t xml:space="preserve">Q-02b, Q-03b, Q-04b, Q-23, Q-24</t>
  </si>
  <si>
    <t xml:space="preserve">المستخدم: نسخ الـzip + validate. ثم باك اند: groupId/teacherId/categories/userType/500.</t>
  </si>
  <si>
    <t xml:space="preserve">2026-10-07</t>
  </si>
  <si>
    <t xml:space="preserve">Claude دفعة 1</t>
  </si>
  <si>
    <t xml:space="preserve">WP-S5, S6, S7, S8</t>
  </si>
  <si>
    <t xml:space="preserve">4 صفحات: سجل الحضور، نتائج الامتحانات، تفاصيل الدرس، تفاصيل الكورس المسجَّل + 5 libs + 5 ملفات اختبار</t>
  </si>
  <si>
    <t xml:space="preserve">S7-01/03/04/05, S8-01/02/03, S5-01/02/03, S6-01/03/04: قيد المراجعة</t>
  </si>
  <si>
    <t xml:space="preserve">attendance.tsx, exam-results.tsx, lesson.$id.tsx, enrolled-course.$id.tsx, lib/{route-id,attendance-view,exam-results,lesson-detail,course-detail}.ts + 5 tests (batch-1-changed-files.zip)</t>
  </si>
  <si>
    <t xml:space="preserve">فحص تقريبي (tsc+مشغّل مبسّط): 26/26 اختبارًا نقيًا</t>
  </si>
  <si>
    <t xml:space="preserve">Guard الدرس student_schedule أم student_my_courses؟</t>
  </si>
  <si>
    <t xml:space="preserve">نسخ + format + validate</t>
  </si>
  <si>
    <t xml:space="preserve">Claude دفعة 2</t>
  </si>
  <si>
    <t xml:space="preserve">WP-S2, S3, S4, W1</t>
  </si>
  <si>
    <t xml:space="preserve">صفحة الحجز + بطاقة الدفع + لوحة طلبات إعادة الجدولة + RescheduleStatus/BookingPaymentStatus</t>
  </si>
  <si>
    <t xml:space="preserve">S2-01/02/05, S3-02, S4-02(جزئي), W1-01/05: قيد المراجعة</t>
  </si>
  <si>
    <t xml:space="preserve">booking.$id.tsx, booking-payment-card.tsx, reschedule-requests-panel.tsx, lib/{booking-detail,reschedule-requests}.ts, enums.ts, booking-detail.test.ts (batch-2)</t>
  </si>
  <si>
    <t xml:space="preserve">فحص تقريبي: 38/38</t>
  </si>
  <si>
    <t xml:space="preserve">Q-26 (قيم الدفع) أُجيب لاحقًا من الكود: مطابقة</t>
  </si>
  <si>
    <t xml:space="preserve">نسخ + validate</t>
  </si>
  <si>
    <t xml:space="preserve">Claude دفعة 3</t>
  </si>
  <si>
    <t xml:space="preserve">teacher.bookings: تبويبات + قبول/رفض/إنهاء + طلبات إعادة الجدولة + decide-reschedule-dialog</t>
  </si>
  <si>
    <t xml:space="preserve">T5-01/04/06: قيد المراجعة</t>
  </si>
  <si>
    <t xml:space="preserve">teacher.bookings.tsx, decide-reschedule-dialog.tsx, lib/teacher-bookings.ts + test (batch-3)</t>
  </si>
  <si>
    <t xml:space="preserve">فحص تقريبي: 44/44</t>
  </si>
  <si>
    <t xml:space="preserve">Q-22 (500)</t>
  </si>
  <si>
    <t xml:space="preserve">نسخ + validate + تأكيد Q-22 حيًا</t>
  </si>
  <si>
    <t xml:space="preserve">WP-T1, T3, T4</t>
  </si>
  <si>
    <t xml:space="preserve">قائمة كورسات المعلم + تبويب الدروس + تبويب الطلاب (معطّل حتى groupId) + groupId اختياري</t>
  </si>
  <si>
    <t xml:space="preserve">T1-01, T4-01: قيد المراجعة؛ T1-07: قيد التنفيذ؛ T3-01..03: متوقف (Q-02b)</t>
  </si>
  <si>
    <t xml:space="preserve">teacher.courses.tsx, lessons-tab.tsx, group-students-tab.tsx, course-seams.ts, lessons.ts, lesson-form-*, enums.ts(+CourseStatus), lib/teacher-courses.ts + test (batch-4)</t>
  </si>
  <si>
    <t xml:space="preserve">فحص تقريبي: 54/54</t>
  </si>
  <si>
    <t xml:space="preserve">Q-02b, Q-03b, Q-04b</t>
  </si>
  <si>
    <t xml:space="preserve">CR-001, CR-003, CR-004</t>
  </si>
  <si>
    <t xml:space="preserve">2026-10-08</t>
  </si>
  <si>
    <t xml:space="preserve">Claude دفعة 5 (بعد قراءة كود الباك اند)</t>
  </si>
  <si>
    <t xml:space="preserve">WP-T4, S5, S7</t>
  </si>
  <si>
    <t xml:space="preserve">حسم أسئلة من Shared/New Version/Acadimia-main.zip: تفعيل تعديل الدرس، to بتاريخ فقط، تسميات حالة الدرس، تحقق العنوان 3..250</t>
  </si>
  <si>
    <t xml:space="preserve">T4-04: مفعّل؛ S5/S7: تحديثات</t>
  </si>
  <si>
    <t xml:space="preserve">lesson-form-dialog/schema, lessons-tab, lesson-detail, attendance-view, teacher-courses + tests (batch-5)</t>
  </si>
  <si>
    <t xml:space="preserve">فحص تقريبي: 65/65 (+17 من الاختبارات القائمة)</t>
  </si>
  <si>
    <t xml:space="preserve">Q-26..Q-30 (أخطاء بالباك اند: Room لا يُحفظ، GetSchedule بلا ملكية، الملغاة بلا حالة)</t>
  </si>
  <si>
    <t xml:space="preserve">تتبّع نتائج المستخدم + fix-pack-1</t>
  </si>
  <si>
    <t xml:space="preserve">WP-QA, أداء</t>
  </si>
  <si>
    <t xml:space="preserve">نتائج المستخدم 2026-10-08: Vercel build فشل (CourseStatus غير مُصدَّر)، GitHub typecheck فشل (groupId وCourseStatus وcourseStatusLabel)، test 320/323 (3 اختبارات teacher-courses). السبب الجذري واحد: ملفات دفعة 4 (enums.ts, lessons.ts, course-seams.ts, group-students-tab.tsx, teacher.courses.tsx) لم تُنسخ. التحقق: كل ملفات الدفعات 1..5 الأخرى مطبّقة (فروق Prettier فقط). + إصلاحات أداء من PageSpeed (جوال 64: FCP 5.2s/LCP 5.8s)</t>
  </si>
  <si>
    <t xml:space="preserve">fix-pack-1.zip: enums.ts, lessons.ts, course-seams.ts, group-students-tab.tsx, teacher.courses.tsx, __root.tsx, cookie-consent.tsx, analytics.ts, styles.css, generate-sitemap.mjs, package.json</t>
  </si>
  <si>
    <t xml:space="preserve">فحص تقريبي بعد الإصلاح: 40/40 والأنواع بلا أخطاء (عدا posthog-js غير مثبّت ببيئتي). المستخدم: validate لم يصبح أخضر بعد</t>
  </si>
  <si>
    <t xml:space="preserve">Q-31 (VITE_SITE_URL), Q-32 (Sentry Replay)</t>
  </si>
  <si>
    <t xml:space="preserve">نسخ fix-pack-1 + npm run format + validate</t>
  </si>
  <si>
    <t xml:space="preserve">قواعد العمل المتوازي (اقرأها قبل أي جلسة)</t>
  </si>
  <si>
    <t xml:space="preserve">القاعدة</t>
  </si>
  <si>
    <t xml:space="preserve">التفاصيل</t>
  </si>
  <si>
    <t xml:space="preserve">ملكية الملفات</t>
  </si>
  <si>
    <t xml:space="preserve">لا تعدّل أي ملف خارج ما يملكه WP الخاص بك (ورقة FileOwnership). الملفات المجمّدة ممنوعة. الحاجة لتعديل ملف غيرك → صف في ChangeRequests ثم انتظر الموافقة.</t>
  </si>
  <si>
    <t xml:space="preserve">ترتيب العمل</t>
  </si>
  <si>
    <t xml:space="preserve">Wave 0 (WP-00) يُدمج أولًا. ثم Wave 1 بالتوازي. ثم WP-QA. لا يبدأ أي WP من Wave 1 قبل إغلاق Wave 0.</t>
  </si>
  <si>
    <t xml:space="preserve">ملف تلقائي. لا تعدّله ولا تضعه في PR الخاص بك. إن ظهر فرق محلي بعد dev server فتجاهله (git checkout).</t>
  </si>
  <si>
    <t xml:space="preserve">الصلاحيات (Guard)</t>
  </si>
  <si>
    <t xml:space="preserve">لا تضف مفاتيح PAGES جديدة. أعد استخدام المفاتيح المذكورة في Contracts C-17.</t>
  </si>
  <si>
    <t xml:space="preserve">النصوص واللغات</t>
  </si>
  <si>
    <t xml:space="preserve">bi("عربي","English") داخل المكوّنات. لا تعدّل ملفات i18n JSON. الواجهة RTL: استخدم الخصائص المنطقية (ms-/me-/start-/end-).</t>
  </si>
  <si>
    <t xml:space="preserve">القاعدة الحاكمة (Truth Rule)</t>
  </si>
  <si>
    <t xml:space="preserve">لا بيانات وهمية ولا أرقام مخترعة. إن لم يوفّر الباك اند الحقل → حالة فراغ/«—» صادقة.</t>
  </si>
  <si>
    <t xml:space="preserve">نتائج العمليات</t>
  </si>
  <si>
    <t xml:space="preserve">كل POST/PUT يرجع OperationResult: استدعِ assertOk(result,…) وأظهر message القادمة من الباك اند عبر getErrorMessage.</t>
  </si>
  <si>
    <t xml:space="preserve">الأنواع الرقمية</t>
  </si>
  <si>
    <t xml:space="preserve">الحالات والأنواع أرقام (BookingStatus 1..6، DeliveryType 1|2، MeetingPlatform 1..4…). لا نصوص. استخدم lib/enums.ts.</t>
  </si>
  <si>
    <t xml:space="preserve">هيكل الصفحة</t>
  </si>
  <si>
    <t xml:space="preserve">AppPage + Panel + EmptyState/LoadingState/ErrorState (+RetryButton) + authPageHead(...) كما بالصفحات الحالية. كل صفحة: تحميل/خطأ/فراغ.</t>
  </si>
  <si>
    <t xml:space="preserve">react-query</t>
  </si>
  <si>
    <t xml:space="preserve">المفاتيح من lib/query-keys.ts فقط. بعد أي mutation للحجز: invalidateBookingQueries.</t>
  </si>
  <si>
    <t xml:space="preserve">الاعتماديات</t>
  </si>
  <si>
    <t xml:space="preserve">ممنوع إضافة npm packages أو تعديل package.json.</t>
  </si>
  <si>
    <t xml:space="preserve">الأمان</t>
  </si>
  <si>
    <t xml:space="preserve">روابط خارجية: isHttpUrl + rel="noopener noreferrer". لا dangerouslySetInnerHTML. الباك اند هو حد الأمان؛ الواجهة للإخفاء فقط.</t>
  </si>
  <si>
    <t xml:space="preserve">الاختبارات</t>
  </si>
  <si>
    <t xml:space="preserve">أضف vitest لأي منطق نقي جديد. ممنوع وضع ملفات *.test.ts داخل src/routes (TanStack يعاملها كـ routes): اختبارات منطق الصفحات في src/test-units/. اختبارات المكوّنات بجوار المكوّن.</t>
  </si>
  <si>
    <t xml:space="preserve">تعريف الإنجاز (DoD)</t>
  </si>
  <si>
    <t xml:space="preserve">(1) كل مهام الـ WP «مكتمل» (2) npm run format &amp;&amp; npm run validate أخضر محليًا (3) لا ملفات خارج الملكية (4) حالات تحميل/خطأ/فراغ (5) RTL+موبايل فُحصت (6) أُضيف تقرير الجلسة (7) اجتاز UAT الخاص بالـ FR أو سُجّل سبب الفشل.</t>
  </si>
  <si>
    <t xml:space="preserve">الفروع والـ commits</t>
  </si>
  <si>
    <t xml:space="preserve">فرع لكل WP (WorkPackages!H). رسائل commit تبدأ بـ [WP-xx] (مثال: [WP-S4] add rating dialog).</t>
  </si>
  <si>
    <t xml:space="preserve">تحديث هذا الملف</t>
  </si>
  <si>
    <t xml:space="preserve">كاتب واحد (المنسّق). الجلسات المتوازية لا تفتح الإكسل؛ تُنهي بتقرير بصيغة SessionLog، ثم تُدمَج التقارير دفعة واحدة وتُرفع النسخة (README!B3).</t>
  </si>
  <si>
    <t xml:space="preserve">القاعدة: لا JSON مُخمَّن</t>
  </si>
  <si>
    <t xml:space="preserve">أي رد غير موثّق بالـSwagger يُكتب PendingResponse ولا تُقرأ حقوله في الواجهة قبل إغلاق WP-J. المهام المعلّمة «يعتمد على JSON؟ = نعم» لا تبدأ قبله؛ «جزئي» تبدأ بالجزء الخالي من JSON (النماذج/المحققات/طلبات الكتابة).</t>
  </si>
  <si>
    <t xml:space="preserve">أسماء الملفات الجديدة</t>
  </si>
  <si>
    <t xml:space="preserve">أي ملف جديد يُسجَّل في FileOwnership قبل/عند التسليم. الأسماء المحجوزة لـClaude (A-claude) مذكورة بالورقة؛ لا تُنشئ ملفًا بنفس الاسم. المنطق النقي القابل للاختبار يوضع في src/lib/ واختباراته في src/test-units/.</t>
  </si>
  <si>
    <t xml:space="preserve">نعم/لا</t>
  </si>
  <si>
    <t xml:space="preserve">حالة السؤال</t>
  </si>
  <si>
    <t xml:space="preserve">نتيجة UAT</t>
  </si>
  <si>
    <t xml:space="preserve">حالة الفرق</t>
  </si>
  <si>
    <t xml:space="preserve">حالة CR</t>
  </si>
  <si>
    <t xml:space="preserve">الدمج</t>
  </si>
  <si>
    <t xml:space="preserve">قيد الإصلاح</t>
  </si>
  <si>
    <t xml:space="preserve">موافق عليه</t>
  </si>
  <si>
    <t xml:space="preserve">مُصلَح</t>
  </si>
  <si>
    <t xml:space="preserve">مرفوض</t>
  </si>
  <si>
    <t xml:space="preserve">منفّذ</t>
  </si>
  <si>
    <t xml:space="preserve">هذه الورقة تغذّي القوائم المنسدلة. لا تحذف أعمدتها.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</si>
</sst>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%"/>
    <numFmt numFmtId="167" formatCode="General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FEB9C"/>
      </patternFill>
    </fill>
    <fill>
      <patternFill patternType="solid">
        <fgColor rgb="FFEAF1FB"/>
        <bgColor rgb="FFD9E2F3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B050"/>
      <rgbColor rgb="FFBFBFBF"/>
      <rgbColor rgb="FF808080"/>
      <rgbColor rgb="FF9999FF"/>
      <rgbColor rgb="FF7030A0"/>
      <rgbColor rgb="FFFFF2CC"/>
      <rgbColor rgb="FFEAF1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2F3"/>
      <rgbColor rgb="FFC6EFCE"/>
      <rgbColor rgb="FFFFEB9C"/>
      <rgbColor rgb="FFD9D9D9"/>
      <rgbColor rgb="FFFF99CC"/>
      <rgbColor rgb="FFCC99FF"/>
      <rgbColor rgb="FFFFC7CE"/>
      <rgbColor rgb="FF2E75B6"/>
      <rgbColor rgb="FF33CCCC"/>
      <rgbColor rgb="FF70AD47"/>
      <rgbColor rgb="FFFFC000"/>
      <rgbColor rgb="FFFF9900"/>
      <rgbColor rgb="FFED7D31"/>
      <rgbColor rgb="FF595959"/>
      <rgbColor rgb="FF7F7F7F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8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5" t="s">
        <v>6</v>
      </c>
    </row>
    <row r="7" customFormat="false" ht="23.25" hidden="false" customHeight="true" outlineLevel="0" collapsed="false">
      <c r="A7" s="6" t="s">
        <v>7</v>
      </c>
      <c r="B7" s="5" t="s">
        <v>8</v>
      </c>
    </row>
    <row r="8" customFormat="false" ht="23.25" hidden="false" customHeight="true" outlineLevel="0" collapsed="false">
      <c r="A8" s="6" t="s">
        <v>9</v>
      </c>
      <c r="B8" s="5" t="s">
        <v>10</v>
      </c>
    </row>
    <row r="9" customFormat="false" ht="45.75" hidden="false" customHeight="true" outlineLevel="0" collapsed="false">
      <c r="A9" s="6" t="s">
        <v>11</v>
      </c>
      <c r="B9" s="5" t="s">
        <v>12</v>
      </c>
    </row>
    <row r="10" customFormat="false" ht="15" hidden="false" customHeight="true" outlineLevel="0" collapsed="false">
      <c r="A10" s="6" t="s">
        <v>13</v>
      </c>
      <c r="B10" s="5" t="s">
        <v>14</v>
      </c>
    </row>
    <row r="11" customFormat="false" ht="15" hidden="false" customHeight="true" outlineLevel="0" collapsed="false">
      <c r="A11" s="6" t="s">
        <v>15</v>
      </c>
      <c r="B11" s="5" t="s">
        <v>16</v>
      </c>
    </row>
    <row r="12" customFormat="false" ht="15" hidden="false" customHeight="true" outlineLevel="0" collapsed="false">
      <c r="A12" s="6" t="s">
        <v>17</v>
      </c>
      <c r="B12" s="5" t="s">
        <v>18</v>
      </c>
    </row>
    <row r="13" customFormat="false" ht="34.5" hidden="false" customHeight="true" outlineLevel="0" collapsed="false">
      <c r="A13" s="6" t="s">
        <v>19</v>
      </c>
      <c r="B13" s="5" t="s">
        <v>20</v>
      </c>
    </row>
    <row r="14" customFormat="false" ht="90.75" hidden="false" customHeight="true" outlineLevel="0" collapsed="false">
      <c r="A14" s="6" t="s">
        <v>21</v>
      </c>
      <c r="B14" s="5" t="s">
        <v>22</v>
      </c>
    </row>
    <row r="15" customFormat="false" ht="15" hidden="false" customHeight="true" outlineLevel="0" collapsed="false">
      <c r="A15" s="6" t="s">
        <v>23</v>
      </c>
      <c r="B15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7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36"/>
    <col collapsed="false" customWidth="true" hidden="false" outlineLevel="0" max="7" min="3" style="1" width="18"/>
  </cols>
  <sheetData>
    <row r="1" customFormat="false" ht="18" hidden="false" customHeight="true" outlineLevel="0" collapsed="false">
      <c r="A1" s="2" t="s">
        <v>25</v>
      </c>
    </row>
    <row r="2" customFormat="false" ht="15" hidden="false" customHeight="true" outlineLevel="0" collapsed="false">
      <c r="A2" s="7" t="s">
        <v>26</v>
      </c>
    </row>
    <row r="3" customFormat="false" ht="15" hidden="false" customHeight="true" outlineLevel="0" collapsed="false">
      <c r="A3" s="5" t="s">
        <v>27</v>
      </c>
      <c r="B3" s="8" t="str">
        <f aca="false">README!B3</f>
        <v>v2.0</v>
      </c>
    </row>
    <row r="4" customFormat="false" ht="15" hidden="false" customHeight="true" outlineLevel="0" collapsed="false">
      <c r="A4" s="5" t="s">
        <v>3</v>
      </c>
      <c r="B4" s="8" t="str">
        <f aca="false">README!B4</f>
        <v>2026-10-09</v>
      </c>
    </row>
    <row r="6" customFormat="false" ht="15" hidden="false" customHeight="true" outlineLevel="0" collapsed="false">
      <c r="A6" s="9" t="s">
        <v>28</v>
      </c>
      <c r="B6" s="10"/>
      <c r="C6" s="10"/>
      <c r="D6" s="10"/>
      <c r="E6" s="10"/>
      <c r="F6" s="10"/>
      <c r="G6" s="10"/>
    </row>
    <row r="7" customFormat="false" ht="15" hidden="false" customHeight="true" outlineLevel="0" collapsed="false">
      <c r="A7" s="5" t="s">
        <v>29</v>
      </c>
      <c r="B7" s="8" t="n">
        <f aca="false">COUNTA(Tasks!$A$5:$A$300)</f>
        <v>129</v>
      </c>
    </row>
    <row r="8" customFormat="false" ht="15" hidden="false" customHeight="true" outlineLevel="0" collapsed="false">
      <c r="A8" s="5" t="s">
        <v>30</v>
      </c>
      <c r="B8" s="8" t="n">
        <f aca="false">COUNTIF(Tasks!$M$5:$M$300,"مكتمل")</f>
        <v>0</v>
      </c>
    </row>
    <row r="9" customFormat="false" ht="15" hidden="false" customHeight="true" outlineLevel="0" collapsed="false">
      <c r="A9" s="5" t="s">
        <v>31</v>
      </c>
      <c r="B9" s="8" t="n">
        <f aca="false">COUNTIF(Tasks!$M$5:$M$300,"قيد التنفيذ")</f>
        <v>2</v>
      </c>
    </row>
    <row r="10" customFormat="false" ht="15" hidden="false" customHeight="true" outlineLevel="0" collapsed="false">
      <c r="A10" s="5" t="s">
        <v>32</v>
      </c>
      <c r="B10" s="8" t="n">
        <f aca="false">COUNTIF(Tasks!$M$5:$M$300,"قيد المراجعة")</f>
        <v>108</v>
      </c>
    </row>
    <row r="11" customFormat="false" ht="15" hidden="false" customHeight="true" outlineLevel="0" collapsed="false">
      <c r="A11" s="5" t="s">
        <v>33</v>
      </c>
      <c r="B11" s="8" t="n">
        <f aca="false">COUNTIF(Tasks!$M$5:$M$300,"متوقف")</f>
        <v>3</v>
      </c>
    </row>
    <row r="12" customFormat="false" ht="15" hidden="false" customHeight="true" outlineLevel="0" collapsed="false">
      <c r="A12" s="5" t="s">
        <v>34</v>
      </c>
      <c r="B12" s="8" t="n">
        <f aca="false">COUNTIF(Tasks!$M$5:$M$300,"لم يبدأ")</f>
        <v>15</v>
      </c>
    </row>
    <row r="13" customFormat="false" ht="15" hidden="false" customHeight="true" outlineLevel="0" collapsed="false">
      <c r="A13" s="5" t="s">
        <v>35</v>
      </c>
      <c r="B13" s="8" t="n">
        <f aca="false">COUNTIF(Tasks!$M$5:$M$300,"مؤجل")</f>
        <v>1</v>
      </c>
    </row>
    <row r="14" customFormat="false" ht="15" hidden="false" customHeight="true" outlineLevel="0" collapsed="false">
      <c r="A14" s="5" t="s">
        <v>36</v>
      </c>
      <c r="B14" s="11" t="n">
        <f aca="false">IF(B7=0,0,B8/B7)</f>
        <v>0</v>
      </c>
    </row>
    <row r="15" customFormat="false" ht="15" hidden="false" customHeight="true" outlineLevel="0" collapsed="false">
      <c r="A15" s="5" t="s">
        <v>37</v>
      </c>
      <c r="B15" s="12" t="n">
        <f aca="false">IF(COUNTIF(Tasks!$C$5:$C$300,"Wave 0")=0,0,COUNTIFS(Tasks!$C$5:$C$300,"Wave 0",Tasks!$M$5:$M$300,"مكتمل")/COUNTIF(Tasks!$C$5:$C$300,"Wave 0"))</f>
        <v>0</v>
      </c>
    </row>
    <row r="16" customFormat="false" ht="15" hidden="false" customHeight="true" outlineLevel="0" collapsed="false">
      <c r="A16" s="5" t="s">
        <v>38</v>
      </c>
      <c r="B16" s="12" t="n">
        <f aca="false">IF(COUNTIF(Tasks!$C$5:$C$300,"Wave 1")=0,0,COUNTIFS(Tasks!$C$5:$C$300,"Wave 1",Tasks!$M$5:$M$300,"مكتمل")/COUNTIF(Tasks!$C$5:$C$300,"Wave 1"))</f>
        <v>0</v>
      </c>
    </row>
    <row r="17" customFormat="false" ht="15" hidden="false" customHeight="true" outlineLevel="0" collapsed="false">
      <c r="A17" s="5" t="s">
        <v>39</v>
      </c>
      <c r="B17" s="12" t="n">
        <f aca="false">IF(COUNTIF(Tasks!$C$5:$C$300,"Wave 2")=0,0,COUNTIFS(Tasks!$C$5:$C$300,"Wave 2",Tasks!$M$5:$M$300,"مكتمل")/COUNTIF(Tasks!$C$5:$C$300,"Wave 2"))</f>
        <v>0</v>
      </c>
    </row>
    <row r="19" customFormat="false" ht="15" hidden="false" customHeight="true" outlineLevel="0" collapsed="false">
      <c r="A19" s="9" t="s">
        <v>40</v>
      </c>
      <c r="B19" s="10"/>
      <c r="C19" s="10"/>
      <c r="D19" s="10"/>
      <c r="E19" s="10"/>
      <c r="F19" s="10"/>
      <c r="G19" s="10"/>
    </row>
    <row r="20" customFormat="false" ht="15" hidden="false" customHeight="true" outlineLevel="0" collapsed="false">
      <c r="A20" s="5" t="s">
        <v>41</v>
      </c>
      <c r="B20" s="8" t="n">
        <f aca="false">COUNTIF(FR_Matrix!$I$5:$I$60,"نعم")</f>
        <v>30</v>
      </c>
    </row>
    <row r="21" customFormat="false" ht="15" hidden="false" customHeight="true" outlineLevel="0" collapsed="false">
      <c r="A21" s="5" t="s">
        <v>42</v>
      </c>
      <c r="B21" s="8" t="n">
        <f aca="false">COUNTIFS(FR_Matrix!$I$5:$I$60,"نعم",FR_Matrix!$G$5:$G$60,"جاهز")</f>
        <v>11</v>
      </c>
    </row>
    <row r="22" customFormat="false" ht="15" hidden="false" customHeight="true" outlineLevel="0" collapsed="false">
      <c r="A22" s="5" t="s">
        <v>43</v>
      </c>
      <c r="B22" s="8" t="n">
        <f aca="false">COUNTIFS(FR_Matrix!$I$5:$I$60,"نعم",FR_Matrix!$G$5:$G$60,"جزئي")</f>
        <v>6</v>
      </c>
    </row>
    <row r="23" customFormat="false" ht="15" hidden="false" customHeight="true" outlineLevel="0" collapsed="false">
      <c r="A23" s="5" t="s">
        <v>44</v>
      </c>
      <c r="B23" s="8" t="n">
        <f aca="false">COUNTIFS(FR_Matrix!$I$5:$I$60,"نعم",FR_Matrix!$G$5:$G$60,"غير جاهز")</f>
        <v>13</v>
      </c>
    </row>
    <row r="24" customFormat="false" ht="15" hidden="false" customHeight="true" outlineLevel="0" collapsed="false">
      <c r="A24" s="5" t="s">
        <v>45</v>
      </c>
      <c r="B24" s="11" t="n">
        <f aca="false">IF(B20=0,0,B21/B20)</f>
        <v>0.366666666666667</v>
      </c>
    </row>
    <row r="25" customFormat="false" ht="15" hidden="false" customHeight="true" outlineLevel="0" collapsed="false">
      <c r="A25" s="5" t="s">
        <v>46</v>
      </c>
      <c r="B25" s="8" t="n">
        <f aca="false">COUNTIFS(FR_Matrix!$I$5:$I$60,"نعم",FR_Matrix!$Q$5:$Q$60,"جاهز (أصلي)")+COUNTIFS(FR_Matrix!$I$5:$I$60,"نعم",FR_Matrix!$Q$5:$Q$60,"جاهز")</f>
        <v>11</v>
      </c>
    </row>
    <row r="26" customFormat="false" ht="15" hidden="false" customHeight="true" outlineLevel="0" collapsed="false">
      <c r="A26" s="5" t="s">
        <v>47</v>
      </c>
      <c r="B26" s="8" t="n">
        <f aca="false">COUNTIFS(FR_Matrix!$I$5:$I$60,"نعم",FR_Matrix!$Q$5:$Q$60,"مكتمل – بانتظار UAT")</f>
        <v>0</v>
      </c>
    </row>
    <row r="27" customFormat="false" ht="15" hidden="false" customHeight="true" outlineLevel="0" collapsed="false">
      <c r="A27" s="5" t="s">
        <v>48</v>
      </c>
      <c r="B27" s="8" t="n">
        <f aca="false">COUNTIFS(FR_Matrix!$I$5:$I$60,"نعم",FR_Matrix!$Q$5:$Q$60,"قيد التنفيذ")</f>
        <v>18</v>
      </c>
    </row>
    <row r="28" customFormat="false" ht="15" hidden="false" customHeight="true" outlineLevel="0" collapsed="false">
      <c r="A28" s="5" t="s">
        <v>49</v>
      </c>
      <c r="B28" s="8" t="n">
        <f aca="false">COUNTIFS(FR_Matrix!$I$5:$I$60,"نعم",FR_Matrix!$Q$5:$Q$60,"لم يبدأ")</f>
        <v>1</v>
      </c>
    </row>
    <row r="29" customFormat="false" ht="15" hidden="false" customHeight="true" outlineLevel="0" collapsed="false">
      <c r="A29" s="5" t="s">
        <v>50</v>
      </c>
      <c r="B29" s="11" t="n">
        <f aca="false">IF(B20=0,0,B25/B20)</f>
        <v>0.366666666666667</v>
      </c>
    </row>
    <row r="30" customFormat="false" ht="15" hidden="false" customHeight="true" outlineLevel="0" collapsed="false">
      <c r="A30" s="5" t="s">
        <v>7</v>
      </c>
      <c r="B30" s="12" t="n">
        <v>1</v>
      </c>
    </row>
    <row r="32" customFormat="false" ht="15" hidden="false" customHeight="true" outlineLevel="0" collapsed="false">
      <c r="A32" s="9" t="s">
        <v>51</v>
      </c>
      <c r="B32" s="10"/>
      <c r="C32" s="10"/>
      <c r="D32" s="10"/>
      <c r="E32" s="10"/>
      <c r="F32" s="10"/>
      <c r="G32" s="10"/>
    </row>
    <row r="33" customFormat="false" ht="15" hidden="false" customHeight="true" outlineLevel="0" collapsed="false">
      <c r="A33" s="5" t="s">
        <v>52</v>
      </c>
      <c r="B33" s="8" t="n">
        <f aca="false">COUNTA(UAT!$A$5:$A$300)</f>
        <v>64</v>
      </c>
    </row>
    <row r="34" customFormat="false" ht="15" hidden="false" customHeight="true" outlineLevel="0" collapsed="false">
      <c r="A34" s="5" t="s">
        <v>53</v>
      </c>
      <c r="B34" s="8" t="n">
        <f aca="false">COUNTIF(UAT!$H$5:$H$300,"نجح")</f>
        <v>0</v>
      </c>
    </row>
    <row r="35" customFormat="false" ht="15" hidden="false" customHeight="true" outlineLevel="0" collapsed="false">
      <c r="A35" s="5" t="s">
        <v>54</v>
      </c>
      <c r="B35" s="8" t="n">
        <f aca="false">COUNTIF(UAT!$H$5:$H$300,"فشل")</f>
        <v>0</v>
      </c>
    </row>
    <row r="36" customFormat="false" ht="15" hidden="false" customHeight="true" outlineLevel="0" collapsed="false">
      <c r="A36" s="5" t="s">
        <v>55</v>
      </c>
      <c r="B36" s="8" t="n">
        <f aca="false">COUNTIF(UAT!$H$5:$H$300,"لم يُختبر")</f>
        <v>64</v>
      </c>
    </row>
    <row r="37" customFormat="false" ht="15" hidden="false" customHeight="true" outlineLevel="0" collapsed="false">
      <c r="A37" s="5" t="s">
        <v>56</v>
      </c>
      <c r="B37" s="11" t="n">
        <f aca="false">IF(B33=0,0,B34/B33)</f>
        <v>0</v>
      </c>
    </row>
    <row r="39" customFormat="false" ht="15" hidden="false" customHeight="true" outlineLevel="0" collapsed="false">
      <c r="A39" s="9" t="s">
        <v>57</v>
      </c>
      <c r="B39" s="10"/>
      <c r="C39" s="10"/>
      <c r="D39" s="10"/>
      <c r="E39" s="10"/>
      <c r="F39" s="10"/>
      <c r="G39" s="10"/>
    </row>
    <row r="40" customFormat="false" ht="15" hidden="false" customHeight="true" outlineLevel="0" collapsed="false">
      <c r="A40" s="5" t="s">
        <v>58</v>
      </c>
      <c r="B40" s="13" t="n">
        <f aca="false">COUNTIFS(OpenQuestions!$E$5:$E$60,"حاجب",OpenQuestions!$H$5:$H$60,"مفتوح")</f>
        <v>10</v>
      </c>
    </row>
    <row r="41" customFormat="false" ht="15" hidden="false" customHeight="true" outlineLevel="0" collapsed="false">
      <c r="A41" s="5" t="s">
        <v>59</v>
      </c>
      <c r="B41" s="8" t="n">
        <f aca="false">COUNTIF(OpenQuestions!$H$5:$H$60,"مفتوح")</f>
        <v>18</v>
      </c>
    </row>
    <row r="42" customFormat="false" ht="15" hidden="false" customHeight="true" outlineLevel="0" collapsed="false">
      <c r="A42" s="5" t="s">
        <v>60</v>
      </c>
      <c r="B42" s="8" t="n">
        <f aca="false">COUNTIF(Discrepancies!$G$5:$G$60,"مفتوح")</f>
        <v>17</v>
      </c>
    </row>
    <row r="43" customFormat="false" ht="15" hidden="false" customHeight="true" outlineLevel="0" collapsed="false">
      <c r="A43" s="5" t="s">
        <v>61</v>
      </c>
      <c r="B43" s="8" t="n">
        <f aca="false">COUNTIF(Tasks!$M$5:$M$300,"متوقف")</f>
        <v>3</v>
      </c>
    </row>
    <row r="44" customFormat="false" ht="15" hidden="false" customHeight="true" outlineLevel="0" collapsed="false">
      <c r="A44" s="5" t="s">
        <v>62</v>
      </c>
      <c r="B44" s="8" t="n">
        <f aca="false">COUNTIF(ChangeRequests!$G$6:$G$40,"مفتوح")</f>
        <v>5</v>
      </c>
    </row>
    <row r="45" customFormat="false" ht="15" hidden="false" customHeight="true" outlineLevel="0" collapsed="false">
      <c r="A45" s="5" t="s">
        <v>63</v>
      </c>
      <c r="B45" s="13" t="n">
        <f aca="false">COUNTIF(FileOwnership!$G$5:$G$300,"⚠ مكرر")</f>
        <v>0</v>
      </c>
    </row>
    <row r="46" customFormat="false" ht="15" hidden="false" customHeight="true" outlineLevel="0" collapsed="false">
      <c r="A46" s="5" t="s">
        <v>64</v>
      </c>
      <c r="B46" s="8" t="n">
        <f aca="false">COUNTIFS(API_Map!$K$5:$K$80,"نعم",API_Map!$L$5:$L$80,"لا")</f>
        <v>15</v>
      </c>
    </row>
    <row r="47" customFormat="false" ht="15" hidden="false" customHeight="true" outlineLevel="0" collapsed="false">
      <c r="A47" s="5" t="s">
        <v>65</v>
      </c>
      <c r="B47" s="8" t="str">
        <f aca="false">COUNTIF(BackendChecklist!$H$5:$H$30,"نعم")&amp;" / "&amp;COUNTIF(BackendChecklist!$A$5:$A$30,"NE-*")</f>
        <v>9 / 14</v>
      </c>
    </row>
    <row r="49" customFormat="false" ht="15" hidden="false" customHeight="true" outlineLevel="0" collapsed="false">
      <c r="A49" s="9" t="s">
        <v>66</v>
      </c>
      <c r="B49" s="10"/>
      <c r="C49" s="10"/>
      <c r="D49" s="10"/>
      <c r="E49" s="10"/>
      <c r="F49" s="10"/>
      <c r="G49" s="10"/>
    </row>
    <row r="50" customFormat="false" ht="15" hidden="false" customHeight="true" outlineLevel="0" collapsed="false">
      <c r="A50" s="14" t="s">
        <v>67</v>
      </c>
      <c r="B50" s="14" t="s">
        <v>68</v>
      </c>
      <c r="C50" s="14" t="s">
        <v>69</v>
      </c>
      <c r="D50" s="14" t="s">
        <v>70</v>
      </c>
      <c r="E50" s="14" t="s">
        <v>71</v>
      </c>
      <c r="F50" s="14" t="s">
        <v>72</v>
      </c>
    </row>
    <row r="51" customFormat="false" ht="15" hidden="false" customHeight="true" outlineLevel="0" collapsed="false">
      <c r="A51" s="5" t="str">
        <f aca="false">WorkPackages!A5</f>
        <v>WP-00</v>
      </c>
      <c r="B51" s="5" t="str">
        <f aca="false">WorkPackages!B5</f>
        <v>الأساس المشترك (Foundation)</v>
      </c>
      <c r="C51" s="5" t="str">
        <f aca="false">WorkPackages!C5</f>
        <v>Wave 0</v>
      </c>
      <c r="D51" s="15" t="n">
        <f aca="false">WorkPackages!O5</f>
        <v>0</v>
      </c>
      <c r="E51" s="5" t="str">
        <f aca="false">WorkPackages!P5</f>
        <v>قيد التنفيذ</v>
      </c>
      <c r="F51" s="5" t="str">
        <f aca="false">WorkPackages!I5</f>
        <v>Claude + المستخدم</v>
      </c>
    </row>
    <row r="52" customFormat="false" ht="15" hidden="false" customHeight="true" outlineLevel="0" collapsed="false">
      <c r="A52" s="5" t="str">
        <f aca="false">WorkPackages!A6</f>
        <v>WP-J</v>
      </c>
      <c r="B52" s="5" t="str">
        <f aca="false">WorkPackages!B6</f>
        <v>أنواع الردود الفعلية (بانتظار عينات JSON)</v>
      </c>
      <c r="C52" s="5" t="str">
        <f aca="false">WorkPackages!C6</f>
        <v>Wave J</v>
      </c>
      <c r="D52" s="15" t="n">
        <f aca="false">WorkPackages!O6</f>
        <v>0</v>
      </c>
      <c r="E52" s="5" t="str">
        <f aca="false">WorkPackages!P6</f>
        <v>قيد التنفيذ</v>
      </c>
      <c r="F52" s="5" t="n">
        <f aca="false">WorkPackages!I6</f>
        <v>0</v>
      </c>
    </row>
    <row r="53" customFormat="false" ht="23.25" hidden="false" customHeight="true" outlineLevel="0" collapsed="false">
      <c r="A53" s="5" t="str">
        <f aca="false">WorkPackages!A7</f>
        <v>WP-T1</v>
      </c>
      <c r="B53" s="5" t="str">
        <f aca="false">WorkPackages!B7</f>
        <v>المعلم: قائمة الكورسات + شاشة الكورس + نموذج التفاصيل</v>
      </c>
      <c r="C53" s="5" t="str">
        <f aca="false">WorkPackages!C7</f>
        <v>Wave 1</v>
      </c>
      <c r="D53" s="15" t="n">
        <f aca="false">WorkPackages!O7</f>
        <v>0</v>
      </c>
      <c r="E53" s="5" t="str">
        <f aca="false">WorkPackages!P7</f>
        <v>قيد التنفيذ</v>
      </c>
      <c r="F53" s="5" t="n">
        <f aca="false">WorkPackages!I7</f>
        <v>0</v>
      </c>
    </row>
    <row r="54" customFormat="false" ht="15" hidden="false" customHeight="true" outlineLevel="0" collapsed="false">
      <c r="A54" s="5" t="str">
        <f aca="false">WorkPackages!A8</f>
        <v>WP-T2</v>
      </c>
      <c r="B54" s="5" t="str">
        <f aca="false">WorkPackages!B8</f>
        <v>المعلم: إعداد المجموعة والجدول المتكرر</v>
      </c>
      <c r="C54" s="5" t="str">
        <f aca="false">WorkPackages!C8</f>
        <v>Wave 1</v>
      </c>
      <c r="D54" s="15" t="n">
        <f aca="false">WorkPackages!O8</f>
        <v>0</v>
      </c>
      <c r="E54" s="5" t="str">
        <f aca="false">WorkPackages!P8</f>
        <v>قيد التنفيذ</v>
      </c>
      <c r="F54" s="5" t="n">
        <f aca="false">WorkPackages!I8</f>
        <v>0</v>
      </c>
    </row>
    <row r="55" customFormat="false" ht="15" hidden="false" customHeight="true" outlineLevel="0" collapsed="false">
      <c r="A55" s="5" t="str">
        <f aca="false">WorkPackages!A9</f>
        <v>WP-T3</v>
      </c>
      <c r="B55" s="5" t="str">
        <f aca="false">WorkPackages!B9</f>
        <v>المعلم: طلاب المجموعة</v>
      </c>
      <c r="C55" s="5" t="str">
        <f aca="false">WorkPackages!C9</f>
        <v>Wave 1</v>
      </c>
      <c r="D55" s="15" t="n">
        <f aca="false">WorkPackages!O9</f>
        <v>0</v>
      </c>
      <c r="E55" s="5" t="str">
        <f aca="false">WorkPackages!P9</f>
        <v>متوقف</v>
      </c>
      <c r="F55" s="5" t="n">
        <f aca="false">WorkPackages!I9</f>
        <v>0</v>
      </c>
    </row>
    <row r="56" customFormat="false" ht="15" hidden="false" customHeight="true" outlineLevel="0" collapsed="false">
      <c r="A56" s="5" t="str">
        <f aca="false">WorkPackages!A10</f>
        <v>WP-T4</v>
      </c>
      <c r="B56" s="5" t="str">
        <f aca="false">WorkPackages!B10</f>
        <v>المعلم: الدروس (إنشاء/جدولة/تعديل/إلغاء/اجتماع)</v>
      </c>
      <c r="C56" s="5" t="str">
        <f aca="false">WorkPackages!C10</f>
        <v>Wave 1</v>
      </c>
      <c r="D56" s="15" t="n">
        <f aca="false">WorkPackages!O10</f>
        <v>0</v>
      </c>
      <c r="E56" s="5" t="str">
        <f aca="false">WorkPackages!P10</f>
        <v>قيد التنفيذ</v>
      </c>
      <c r="F56" s="5" t="n">
        <f aca="false">WorkPackages!I10</f>
        <v>0</v>
      </c>
    </row>
    <row r="57" customFormat="false" ht="23.25" hidden="false" customHeight="true" outlineLevel="0" collapsed="false">
      <c r="A57" s="5" t="str">
        <f aca="false">WorkPackages!A11</f>
        <v>WP-T5</v>
      </c>
      <c r="B57" s="5" t="str">
        <f aca="false">WorkPackages!B11</f>
        <v>المعلم: طلبات الحجز + طلبات إعادة الجدولة + لوحة المعلم</v>
      </c>
      <c r="C57" s="5" t="str">
        <f aca="false">WorkPackages!C11</f>
        <v>Wave 1</v>
      </c>
      <c r="D57" s="15" t="n">
        <f aca="false">WorkPackages!O11</f>
        <v>0</v>
      </c>
      <c r="E57" s="5" t="str">
        <f aca="false">WorkPackages!P11</f>
        <v>قيد التنفيذ</v>
      </c>
      <c r="F57" s="5" t="n">
        <f aca="false">WorkPackages!I11</f>
        <v>0</v>
      </c>
    </row>
    <row r="58" customFormat="false" ht="15" hidden="false" customHeight="true" outlineLevel="0" collapsed="false">
      <c r="A58" s="5" t="str">
        <f aca="false">WorkPackages!A12</f>
        <v>WP-S1</v>
      </c>
      <c r="B58" s="5" t="str">
        <f aca="false">WorkPackages!B12</f>
        <v>الطالب: شاشة إنشاء الحجز</v>
      </c>
      <c r="C58" s="5" t="str">
        <f aca="false">WorkPackages!C12</f>
        <v>Wave 1</v>
      </c>
      <c r="D58" s="15" t="n">
        <f aca="false">WorkPackages!O12</f>
        <v>0</v>
      </c>
      <c r="E58" s="5" t="str">
        <f aca="false">WorkPackages!P12</f>
        <v>قيد التنفيذ</v>
      </c>
      <c r="F58" s="5" t="n">
        <f aca="false">WorkPackages!I12</f>
        <v>0</v>
      </c>
    </row>
    <row r="59" customFormat="false" ht="15" hidden="false" customHeight="true" outlineLevel="0" collapsed="false">
      <c r="A59" s="5" t="str">
        <f aca="false">WorkPackages!A13</f>
        <v>WP-S2</v>
      </c>
      <c r="B59" s="5" t="str">
        <f aca="false">WorkPackages!B13</f>
        <v>الطالب: تفاصيل الحجز + الإلغاء + لوحات كورساتي</v>
      </c>
      <c r="C59" s="5" t="str">
        <f aca="false">WorkPackages!C13</f>
        <v>Wave 1</v>
      </c>
      <c r="D59" s="15" t="n">
        <f aca="false">WorkPackages!O13</f>
        <v>0</v>
      </c>
      <c r="E59" s="5" t="str">
        <f aca="false">WorkPackages!P13</f>
        <v>قيد التنفيذ</v>
      </c>
      <c r="F59" s="5" t="n">
        <f aca="false">WorkPackages!I13</f>
        <v>0</v>
      </c>
    </row>
    <row r="60" customFormat="false" ht="15" hidden="false" customHeight="true" outlineLevel="0" collapsed="false">
      <c r="A60" s="5" t="str">
        <f aca="false">WorkPackages!A14</f>
        <v>WP-S3</v>
      </c>
      <c r="B60" s="5" t="str">
        <f aca="false">WorkPackages!B14</f>
        <v>الطالب: طلب إعادة الجدولة</v>
      </c>
      <c r="C60" s="5" t="str">
        <f aca="false">WorkPackages!C14</f>
        <v>Wave 1</v>
      </c>
      <c r="D60" s="15" t="n">
        <f aca="false">WorkPackages!O14</f>
        <v>0</v>
      </c>
      <c r="E60" s="5" t="str">
        <f aca="false">WorkPackages!P14</f>
        <v>قيد التنفيذ</v>
      </c>
      <c r="F60" s="5" t="n">
        <f aca="false">WorkPackages!I14</f>
        <v>0</v>
      </c>
    </row>
    <row r="61" customFormat="false" ht="15" hidden="false" customHeight="true" outlineLevel="0" collapsed="false">
      <c r="A61" s="5" t="str">
        <f aca="false">WorkPackages!A15</f>
        <v>WP-S4</v>
      </c>
      <c r="B61" s="5" t="str">
        <f aca="false">WorkPackages!B15</f>
        <v>الطالب: تقييم المعلم</v>
      </c>
      <c r="C61" s="5" t="str">
        <f aca="false">WorkPackages!C15</f>
        <v>Wave 1</v>
      </c>
      <c r="D61" s="15" t="n">
        <f aca="false">WorkPackages!O15</f>
        <v>0</v>
      </c>
      <c r="E61" s="5" t="str">
        <f aca="false">WorkPackages!P15</f>
        <v>قيد التنفيذ</v>
      </c>
      <c r="F61" s="5" t="n">
        <f aca="false">WorkPackages!I15</f>
        <v>0</v>
      </c>
    </row>
    <row r="62" customFormat="false" ht="23.25" hidden="false" customHeight="true" outlineLevel="0" collapsed="false">
      <c r="A62" s="5" t="str">
        <f aca="false">WorkPackages!A16</f>
        <v>WP-S5</v>
      </c>
      <c r="B62" s="5" t="str">
        <f aca="false">WorkPackages!B16</f>
        <v>الطالب: تفاصيل الدرس (حضوري/أونلاين) + تحسين الجدول</v>
      </c>
      <c r="C62" s="5" t="str">
        <f aca="false">WorkPackages!C16</f>
        <v>Wave 1</v>
      </c>
      <c r="D62" s="15" t="n">
        <f aca="false">WorkPackages!O16</f>
        <v>0</v>
      </c>
      <c r="E62" s="5" t="str">
        <f aca="false">WorkPackages!P16</f>
        <v>قيد التنفيذ</v>
      </c>
      <c r="F62" s="5" t="n">
        <f aca="false">WorkPackages!I16</f>
        <v>0</v>
      </c>
    </row>
    <row r="63" customFormat="false" ht="15" hidden="false" customHeight="true" outlineLevel="0" collapsed="false">
      <c r="A63" s="5" t="str">
        <f aca="false">WorkPackages!A17</f>
        <v>WP-S6</v>
      </c>
      <c r="B63" s="5" t="str">
        <f aca="false">WorkPackages!B17</f>
        <v>الطالب: تفاصيل الكورس المسجَّل</v>
      </c>
      <c r="C63" s="5" t="str">
        <f aca="false">WorkPackages!C17</f>
        <v>Wave 1</v>
      </c>
      <c r="D63" s="15" t="n">
        <f aca="false">WorkPackages!O17</f>
        <v>0</v>
      </c>
      <c r="E63" s="5" t="str">
        <f aca="false">WorkPackages!P17</f>
        <v>قيد التنفيذ</v>
      </c>
      <c r="F63" s="5" t="n">
        <f aca="false">WorkPackages!I17</f>
        <v>0</v>
      </c>
    </row>
    <row r="64" customFormat="false" ht="15" hidden="false" customHeight="true" outlineLevel="0" collapsed="false">
      <c r="A64" s="5" t="str">
        <f aca="false">WorkPackages!A18</f>
        <v>WP-S7</v>
      </c>
      <c r="B64" s="5" t="str">
        <f aca="false">WorkPackages!B18</f>
        <v>الطالب: سجل الحضور</v>
      </c>
      <c r="C64" s="5" t="str">
        <f aca="false">WorkPackages!C18</f>
        <v>Wave 1</v>
      </c>
      <c r="D64" s="15" t="n">
        <f aca="false">WorkPackages!O18</f>
        <v>0</v>
      </c>
      <c r="E64" s="5" t="str">
        <f aca="false">WorkPackages!P18</f>
        <v>قيد التنفيذ</v>
      </c>
      <c r="F64" s="5" t="n">
        <f aca="false">WorkPackages!I18</f>
        <v>0</v>
      </c>
    </row>
    <row r="65" customFormat="false" ht="15" hidden="false" customHeight="true" outlineLevel="0" collapsed="false">
      <c r="A65" s="5" t="str">
        <f aca="false">WorkPackages!A19</f>
        <v>WP-S8</v>
      </c>
      <c r="B65" s="5" t="str">
        <f aca="false">WorkPackages!B19</f>
        <v>الطالب: نتائج الامتحانات</v>
      </c>
      <c r="C65" s="5" t="str">
        <f aca="false">WorkPackages!C19</f>
        <v>Wave 1</v>
      </c>
      <c r="D65" s="15" t="n">
        <f aca="false">WorkPackages!O19</f>
        <v>0</v>
      </c>
      <c r="E65" s="5" t="str">
        <f aca="false">WorkPackages!P19</f>
        <v>قيد التنفيذ</v>
      </c>
      <c r="F65" s="5" t="n">
        <f aca="false">WorkPackages!I19</f>
        <v>0</v>
      </c>
    </row>
    <row r="66" customFormat="false" ht="15" hidden="false" customHeight="true" outlineLevel="0" collapsed="false">
      <c r="A66" s="5" t="str">
        <f aca="false">WorkPackages!A20</f>
        <v>WP-S9</v>
      </c>
      <c r="B66" s="5" t="str">
        <f aca="false">WorkPackages!B20</f>
        <v>الطالب: التقدم الأكاديمي</v>
      </c>
      <c r="C66" s="5" t="str">
        <f aca="false">WorkPackages!C20</f>
        <v>Wave 1</v>
      </c>
      <c r="D66" s="15" t="n">
        <f aca="false">WorkPackages!O20</f>
        <v>0</v>
      </c>
      <c r="E66" s="5" t="str">
        <f aca="false">WorkPackages!P20</f>
        <v>قيد التنفيذ</v>
      </c>
      <c r="F66" s="5" t="n">
        <f aca="false">WorkPackages!I20</f>
        <v>0</v>
      </c>
    </row>
    <row r="67" customFormat="false" ht="23.25" hidden="false" customHeight="true" outlineLevel="0" collapsed="false">
      <c r="A67" s="5" t="str">
        <f aca="false">WorkPackages!A21</f>
        <v>WP-P1</v>
      </c>
      <c r="B67" s="5" t="str">
        <f aca="false">WorkPackages!B21</f>
        <v>ولي الأمر: عدد الإشعارات + تقييد الوصول + تحسينات التقرير</v>
      </c>
      <c r="C67" s="5" t="str">
        <f aca="false">WorkPackages!C21</f>
        <v>Wave 1</v>
      </c>
      <c r="D67" s="15" t="n">
        <f aca="false">WorkPackages!O21</f>
        <v>0</v>
      </c>
      <c r="E67" s="5" t="str">
        <f aca="false">WorkPackages!P21</f>
        <v>قيد التنفيذ</v>
      </c>
      <c r="F67" s="5" t="n">
        <f aca="false">WorkPackages!I21</f>
        <v>0</v>
      </c>
    </row>
    <row r="68" customFormat="false" ht="15" hidden="false" customHeight="true" outlineLevel="0" collapsed="false">
      <c r="A68" s="5" t="str">
        <f aca="false">WorkPackages!A22</f>
        <v>WP-W1</v>
      </c>
      <c r="B68" s="5" t="str">
        <f aca="false">WorkPackages!B22</f>
        <v>المحفظة (طالب): الخصم وحالة الدفع</v>
      </c>
      <c r="C68" s="5" t="str">
        <f aca="false">WorkPackages!C22</f>
        <v>Wave 1</v>
      </c>
      <c r="D68" s="15" t="n">
        <f aca="false">WorkPackages!O22</f>
        <v>0</v>
      </c>
      <c r="E68" s="5" t="str">
        <f aca="false">WorkPackages!P22</f>
        <v>قيد التنفيذ</v>
      </c>
      <c r="F68" s="5" t="n">
        <f aca="false">WorkPackages!I22</f>
        <v>0</v>
      </c>
    </row>
    <row r="69" customFormat="false" ht="15" hidden="false" customHeight="true" outlineLevel="0" collapsed="false">
      <c r="A69" s="5" t="str">
        <f aca="false">WorkPackages!A23</f>
        <v>WP-W2</v>
      </c>
      <c r="B69" s="5" t="str">
        <f aca="false">WorkPackages!B23</f>
        <v>المحفظة (معلم): إيداع الأرباح بعد العمولة</v>
      </c>
      <c r="C69" s="5" t="str">
        <f aca="false">WorkPackages!C23</f>
        <v>Wave 1</v>
      </c>
      <c r="D69" s="15" t="n">
        <f aca="false">WorkPackages!O23</f>
        <v>0</v>
      </c>
      <c r="E69" s="5" t="str">
        <f aca="false">WorkPackages!P23</f>
        <v>قيد التنفيذ</v>
      </c>
      <c r="F69" s="5" t="n">
        <f aca="false">WorkPackages!I23</f>
        <v>0</v>
      </c>
    </row>
    <row r="70" customFormat="false" ht="15" hidden="false" customHeight="true" outlineLevel="0" collapsed="false">
      <c r="A70" s="5" t="str">
        <f aca="false">WorkPackages!A24</f>
        <v>WP-QA</v>
      </c>
      <c r="B70" s="5" t="str">
        <f aca="false">WorkPackages!B24</f>
        <v>التكامل والاختبار والتوثيق</v>
      </c>
      <c r="C70" s="5" t="str">
        <f aca="false">WorkPackages!C24</f>
        <v>Wave 2</v>
      </c>
      <c r="D70" s="15" t="n">
        <f aca="false">WorkPackages!O24</f>
        <v>0</v>
      </c>
      <c r="E70" s="5" t="str">
        <f aca="false">WorkPackages!P24</f>
        <v>لم يبدأ</v>
      </c>
      <c r="F70" s="5" t="n">
        <f aca="false">WorkPackages!I24</f>
        <v>0</v>
      </c>
    </row>
  </sheetData>
  <conditionalFormatting sqref="B14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{71D18A41-5DB9-42DC-903E-6C9AEEB1F5F0}</x14:id>
        </ext>
      </extLst>
    </cfRule>
  </conditionalFormatting>
  <conditionalFormatting sqref="B29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{54281585-2528-4620-9625-5CC7ED92E030}</x14:id>
        </ext>
      </extLst>
    </cfRule>
  </conditionalFormatting>
  <conditionalFormatting sqref="B40">
    <cfRule type="cellIs" priority="4" operator="greaterThan" aboveAverage="0" equalAverage="0" bottom="0" percent="0" rank="0" text="" dxfId="0">
      <formula>0</formula>
    </cfRule>
  </conditionalFormatting>
  <conditionalFormatting sqref="B45">
    <cfRule type="cellIs" priority="5" operator="greaterThan" aboveAverage="0" equalAverage="0" bottom="0" percent="0" rank="0" text="" dxfId="0">
      <formula>0</formula>
    </cfRule>
  </conditionalFormatting>
  <conditionalFormatting sqref="E51:E70">
    <cfRule type="cellIs" priority="6" operator="equal" aboveAverage="0" equalAverage="0" bottom="0" percent="0" rank="0" text="" dxfId="1">
      <formula>"مكتمل"</formula>
    </cfRule>
    <cfRule type="cellIs" priority="7" operator="equal" aboveAverage="0" equalAverage="0" bottom="0" percent="0" rank="0" text="" dxfId="2">
      <formula>"قيد التنفيذ"</formula>
    </cfRule>
    <cfRule type="cellIs" priority="8" operator="equal" aboveAverage="0" equalAverage="0" bottom="0" percent="0" rank="0" text="" dxfId="3">
      <formula>"قيد المراجعة"</formula>
    </cfRule>
    <cfRule type="cellIs" priority="9" operator="equal" aboveAverage="0" equalAverage="0" bottom="0" percent="0" rank="0" text="" dxfId="0">
      <formula>"متوقف"</formula>
    </cfRule>
    <cfRule type="cellIs" priority="10" operator="equal" aboveAverage="0" equalAverage="0" bottom="0" percent="0" rank="0" text="" dxfId="4">
      <formula>"مؤجل"</formula>
    </cfRule>
  </conditionalFormatting>
  <conditionalFormatting sqref="D51:D70">
    <cfRule type="dataBar" priority="11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{7726659C-81C7-40EE-BB5D-B61A70348D20}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D18A41-5DB9-42DC-903E-6C9AEEB1F5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B14</xm:sqref>
        </x14:conditionalFormatting>
        <x14:conditionalFormatting xmlns:xm="http://schemas.microsoft.com/office/excel/2006/main">
          <x14:cfRule type="dataBar" id="{54281585-2528-4620-9625-5CC7ED92E03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B29</xm:sqref>
        </x14:conditionalFormatting>
        <x14:conditionalFormatting xmlns:xm="http://schemas.microsoft.com/office/excel/2006/main">
          <x14:cfRule type="dataBar" id="{7726659C-81C7-40EE-BB5D-B61A70348D2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D51:D70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0"/>
    <col collapsed="false" customWidth="true" hidden="false" outlineLevel="0" max="5" min="5" style="1" width="16"/>
    <col collapsed="false" customWidth="true" hidden="false" outlineLevel="0" max="6" min="6" style="1" width="60"/>
    <col collapsed="false" customWidth="true" hidden="false" outlineLevel="0" max="7" min="7" style="1" width="38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1" min="11" style="1" width="28"/>
  </cols>
  <sheetData>
    <row r="1" customFormat="false" ht="18" hidden="false" customHeight="true" outlineLevel="0" collapsed="false">
      <c r="A1" s="2" t="s">
        <v>73</v>
      </c>
    </row>
    <row r="2" customFormat="false" ht="15" hidden="false" customHeight="true" outlineLevel="0" collapsed="false">
      <c r="A2" s="7" t="s">
        <v>74</v>
      </c>
    </row>
    <row r="4" customFormat="false" ht="31.5" hidden="false" customHeight="true" outlineLevel="0" collapsed="false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79</v>
      </c>
      <c r="F4" s="16" t="s">
        <v>80</v>
      </c>
      <c r="G4" s="16" t="s">
        <v>81</v>
      </c>
      <c r="H4" s="16" t="s">
        <v>82</v>
      </c>
      <c r="I4" s="16" t="s">
        <v>83</v>
      </c>
      <c r="J4" s="16" t="s">
        <v>84</v>
      </c>
      <c r="K4" s="16" t="s">
        <v>85</v>
      </c>
    </row>
    <row r="5" customFormat="false" ht="23.25" hidden="false" customHeight="true" outlineLevel="0" collapsed="false">
      <c r="A5" s="17" t="s">
        <v>86</v>
      </c>
      <c r="B5" s="5" t="s">
        <v>87</v>
      </c>
      <c r="C5" s="5" t="s">
        <v>88</v>
      </c>
      <c r="D5" s="5" t="s">
        <v>89</v>
      </c>
      <c r="E5" s="5" t="s">
        <v>90</v>
      </c>
      <c r="F5" s="5" t="s">
        <v>91</v>
      </c>
      <c r="G5" s="5" t="s">
        <v>92</v>
      </c>
      <c r="H5" s="4" t="s">
        <v>93</v>
      </c>
      <c r="I5" s="18" t="s">
        <v>94</v>
      </c>
      <c r="J5" s="19" t="n">
        <f aca="false">COUNTIFS(Tasks!$W$5:$W$300,A5,Tasks!$M$5:$M$300,"&lt;&gt;مكتمل")</f>
        <v>5</v>
      </c>
      <c r="K5" s="4" t="s">
        <v>95</v>
      </c>
    </row>
    <row r="6" customFormat="false" ht="23.25" hidden="false" customHeight="true" outlineLevel="0" collapsed="false">
      <c r="A6" s="17" t="s">
        <v>96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101</v>
      </c>
      <c r="G6" s="5" t="s">
        <v>102</v>
      </c>
      <c r="H6" s="4" t="s">
        <v>103</v>
      </c>
      <c r="I6" s="18" t="s">
        <v>94</v>
      </c>
      <c r="J6" s="19" t="n">
        <f aca="false">COUNTIFS(Tasks!$W$5:$W$300,A6,Tasks!$M$5:$M$300,"&lt;&gt;مكتمل")</f>
        <v>5</v>
      </c>
      <c r="K6" s="4" t="s">
        <v>104</v>
      </c>
    </row>
    <row r="7" customFormat="false" ht="15" hidden="false" customHeight="true" outlineLevel="0" collapsed="false">
      <c r="A7" s="17" t="s">
        <v>105</v>
      </c>
      <c r="B7" s="5" t="s">
        <v>106</v>
      </c>
      <c r="C7" s="5" t="s">
        <v>107</v>
      </c>
      <c r="D7" s="5" t="s">
        <v>108</v>
      </c>
      <c r="E7" s="5" t="s">
        <v>109</v>
      </c>
      <c r="F7" s="5" t="s">
        <v>110</v>
      </c>
      <c r="G7" s="5" t="s">
        <v>111</v>
      </c>
      <c r="H7" s="4" t="s">
        <v>103</v>
      </c>
      <c r="I7" s="18" t="s">
        <v>94</v>
      </c>
      <c r="J7" s="19" t="n">
        <f aca="false">COUNTIFS(Tasks!$W$5:$W$300,A7,Tasks!$M$5:$M$300,"&lt;&gt;مكتمل")</f>
        <v>2</v>
      </c>
      <c r="K7" s="4" t="s">
        <v>104</v>
      </c>
    </row>
    <row r="8" customFormat="false" ht="15" hidden="false" customHeight="true" outlineLevel="0" collapsed="false">
      <c r="A8" s="17" t="s">
        <v>112</v>
      </c>
      <c r="B8" s="5" t="s">
        <v>113</v>
      </c>
      <c r="C8" s="5" t="s">
        <v>88</v>
      </c>
      <c r="D8" s="5" t="s">
        <v>114</v>
      </c>
      <c r="E8" s="5" t="s">
        <v>115</v>
      </c>
      <c r="F8" s="5" t="s">
        <v>116</v>
      </c>
      <c r="G8" s="5" t="s">
        <v>117</v>
      </c>
      <c r="H8" s="4" t="s">
        <v>103</v>
      </c>
      <c r="I8" s="18" t="s">
        <v>94</v>
      </c>
      <c r="J8" s="19" t="n">
        <f aca="false">COUNTIFS(Tasks!$W$5:$W$300,A8,Tasks!$M$5:$M$300,"&lt;&gt;مكتمل")</f>
        <v>1</v>
      </c>
      <c r="K8" s="4" t="s">
        <v>104</v>
      </c>
    </row>
    <row r="9" customFormat="false" ht="15" hidden="false" customHeight="true" outlineLevel="0" collapsed="false">
      <c r="A9" s="17" t="s">
        <v>118</v>
      </c>
      <c r="B9" s="5" t="s">
        <v>119</v>
      </c>
      <c r="C9" s="5" t="s">
        <v>88</v>
      </c>
      <c r="D9" s="5" t="s">
        <v>120</v>
      </c>
      <c r="E9" s="5" t="s">
        <v>115</v>
      </c>
      <c r="F9" s="5" t="s">
        <v>121</v>
      </c>
      <c r="G9" s="5" t="s">
        <v>122</v>
      </c>
      <c r="H9" s="4" t="s">
        <v>103</v>
      </c>
      <c r="I9" s="18" t="s">
        <v>94</v>
      </c>
      <c r="J9" s="19" t="n">
        <f aca="false">COUNTIFS(Tasks!$W$5:$W$300,A9,Tasks!$M$5:$M$300,"&lt;&gt;مكتمل")</f>
        <v>3</v>
      </c>
      <c r="K9" s="4" t="s">
        <v>104</v>
      </c>
    </row>
    <row r="10" customFormat="false" ht="15" hidden="false" customHeight="true" outlineLevel="0" collapsed="false">
      <c r="A10" s="17" t="s">
        <v>123</v>
      </c>
      <c r="B10" s="5" t="s">
        <v>124</v>
      </c>
      <c r="C10" s="5" t="s">
        <v>88</v>
      </c>
      <c r="D10" s="5" t="s">
        <v>125</v>
      </c>
      <c r="E10" s="5" t="s">
        <v>115</v>
      </c>
      <c r="F10" s="5" t="s">
        <v>126</v>
      </c>
      <c r="G10" s="5" t="s">
        <v>127</v>
      </c>
      <c r="H10" s="4" t="s">
        <v>103</v>
      </c>
      <c r="I10" s="18" t="s">
        <v>94</v>
      </c>
      <c r="J10" s="19" t="n">
        <f aca="false">COUNTIFS(Tasks!$W$5:$W$300,A10,Tasks!$M$5:$M$300,"&lt;&gt;مكتمل")</f>
        <v>3</v>
      </c>
      <c r="K10" s="4" t="s">
        <v>104</v>
      </c>
    </row>
    <row r="11" customFormat="false" ht="15" hidden="false" customHeight="true" outlineLevel="0" collapsed="false">
      <c r="A11" s="17" t="s">
        <v>128</v>
      </c>
      <c r="B11" s="5" t="s">
        <v>129</v>
      </c>
      <c r="C11" s="5" t="s">
        <v>88</v>
      </c>
      <c r="D11" s="5" t="s">
        <v>130</v>
      </c>
      <c r="E11" s="5" t="s">
        <v>115</v>
      </c>
      <c r="F11" s="5" t="s">
        <v>131</v>
      </c>
      <c r="G11" s="5" t="s">
        <v>132</v>
      </c>
      <c r="H11" s="4" t="s">
        <v>103</v>
      </c>
      <c r="I11" s="18" t="s">
        <v>94</v>
      </c>
      <c r="J11" s="19" t="n">
        <f aca="false">COUNTIFS(Tasks!$W$5:$W$300,A11,Tasks!$M$5:$M$300,"&lt;&gt;مكتمل")</f>
        <v>4</v>
      </c>
      <c r="K11" s="4" t="s">
        <v>104</v>
      </c>
    </row>
    <row r="12" customFormat="false" ht="15" hidden="false" customHeight="true" outlineLevel="0" collapsed="false">
      <c r="A12" s="17" t="s">
        <v>133</v>
      </c>
      <c r="B12" s="5" t="s">
        <v>134</v>
      </c>
      <c r="C12" s="5" t="s">
        <v>88</v>
      </c>
      <c r="D12" s="5" t="s">
        <v>135</v>
      </c>
      <c r="E12" s="5" t="s">
        <v>115</v>
      </c>
      <c r="F12" s="5" t="s">
        <v>136</v>
      </c>
      <c r="G12" s="5" t="s">
        <v>137</v>
      </c>
      <c r="H12" s="4" t="s">
        <v>103</v>
      </c>
      <c r="I12" s="18" t="s">
        <v>94</v>
      </c>
      <c r="J12" s="19" t="n">
        <f aca="false">COUNTIFS(Tasks!$W$5:$W$300,A12,Tasks!$M$5:$M$300,"&lt;&gt;مكتمل")</f>
        <v>3</v>
      </c>
      <c r="K12" s="4" t="s">
        <v>104</v>
      </c>
    </row>
    <row r="13" customFormat="false" ht="23.25" hidden="false" customHeight="true" outlineLevel="0" collapsed="false">
      <c r="A13" s="17" t="s">
        <v>138</v>
      </c>
      <c r="B13" s="5" t="s">
        <v>139</v>
      </c>
      <c r="C13" s="5" t="s">
        <v>98</v>
      </c>
      <c r="D13" s="5" t="s">
        <v>140</v>
      </c>
      <c r="E13" s="5" t="s">
        <v>141</v>
      </c>
      <c r="F13" s="5" t="s">
        <v>142</v>
      </c>
      <c r="G13" s="5" t="s">
        <v>143</v>
      </c>
      <c r="H13" s="4" t="s">
        <v>93</v>
      </c>
      <c r="I13" s="18" t="s">
        <v>94</v>
      </c>
      <c r="J13" s="19" t="n">
        <f aca="false">COUNTIFS(Tasks!$W$5:$W$300,A13,Tasks!$M$5:$M$300,"&lt;&gt;مكتمل")</f>
        <v>6</v>
      </c>
      <c r="K13" s="4" t="s">
        <v>144</v>
      </c>
    </row>
    <row r="14" customFormat="false" ht="15" hidden="false" customHeight="true" outlineLevel="0" collapsed="false">
      <c r="A14" s="17" t="s">
        <v>145</v>
      </c>
      <c r="B14" s="5" t="s">
        <v>146</v>
      </c>
      <c r="C14" s="5" t="s">
        <v>107</v>
      </c>
      <c r="D14" s="5" t="s">
        <v>147</v>
      </c>
      <c r="E14" s="5" t="s">
        <v>148</v>
      </c>
      <c r="F14" s="5" t="s">
        <v>149</v>
      </c>
      <c r="G14" s="5" t="s">
        <v>150</v>
      </c>
      <c r="H14" s="4" t="s">
        <v>103</v>
      </c>
      <c r="I14" s="18" t="s">
        <v>94</v>
      </c>
      <c r="J14" s="19" t="n">
        <f aca="false">COUNTIFS(Tasks!$W$5:$W$300,A14,Tasks!$M$5:$M$300,"&lt;&gt;مكتمل")</f>
        <v>1</v>
      </c>
      <c r="K14" s="4" t="s">
        <v>151</v>
      </c>
    </row>
    <row r="15" customFormat="false" ht="15" hidden="false" customHeight="true" outlineLevel="0" collapsed="false">
      <c r="A15" s="17" t="s">
        <v>152</v>
      </c>
      <c r="B15" s="5" t="s">
        <v>153</v>
      </c>
      <c r="C15" s="5" t="s">
        <v>88</v>
      </c>
      <c r="D15" s="5" t="s">
        <v>154</v>
      </c>
      <c r="E15" s="5" t="s">
        <v>155</v>
      </c>
      <c r="F15" s="5" t="s">
        <v>156</v>
      </c>
      <c r="G15" s="5" t="s">
        <v>157</v>
      </c>
      <c r="H15" s="4" t="s">
        <v>93</v>
      </c>
      <c r="I15" s="18" t="s">
        <v>94</v>
      </c>
      <c r="J15" s="19" t="n">
        <f aca="false">COUNTIFS(Tasks!$W$5:$W$300,A15,Tasks!$M$5:$M$300,"&lt;&gt;مكتمل")</f>
        <v>4</v>
      </c>
      <c r="K15" s="4" t="s">
        <v>158</v>
      </c>
    </row>
    <row r="16" customFormat="false" ht="15" hidden="false" customHeight="true" outlineLevel="0" collapsed="false">
      <c r="A16" s="17" t="s">
        <v>159</v>
      </c>
      <c r="B16" s="5" t="s">
        <v>160</v>
      </c>
      <c r="C16" s="5" t="s">
        <v>88</v>
      </c>
      <c r="D16" s="5" t="s">
        <v>161</v>
      </c>
      <c r="E16" s="5" t="s">
        <v>155</v>
      </c>
      <c r="F16" s="5" t="s">
        <v>162</v>
      </c>
      <c r="G16" s="5" t="s">
        <v>163</v>
      </c>
      <c r="H16" s="4" t="s">
        <v>103</v>
      </c>
      <c r="I16" s="18" t="s">
        <v>94</v>
      </c>
      <c r="J16" s="19" t="n">
        <f aca="false">COUNTIFS(Tasks!$W$5:$W$300,A16,Tasks!$M$5:$M$300,"&lt;&gt;مكتمل")</f>
        <v>2</v>
      </c>
      <c r="K16" s="4" t="s">
        <v>164</v>
      </c>
    </row>
    <row r="17" customFormat="false" ht="23.25" hidden="false" customHeight="true" outlineLevel="0" collapsed="false">
      <c r="A17" s="17" t="s">
        <v>165</v>
      </c>
      <c r="B17" s="5" t="s">
        <v>166</v>
      </c>
      <c r="C17" s="5" t="s">
        <v>107</v>
      </c>
      <c r="D17" s="5" t="s">
        <v>167</v>
      </c>
      <c r="E17" s="5" t="s">
        <v>168</v>
      </c>
      <c r="F17" s="5" t="s">
        <v>169</v>
      </c>
      <c r="G17" s="5" t="s">
        <v>170</v>
      </c>
      <c r="H17" s="4" t="s">
        <v>93</v>
      </c>
      <c r="I17" s="18" t="s">
        <v>94</v>
      </c>
      <c r="J17" s="19" t="n">
        <f aca="false">COUNTIFS(Tasks!$W$5:$W$300,A17,Tasks!$M$5:$M$300,"&lt;&gt;مكتمل")</f>
        <v>6</v>
      </c>
      <c r="K17" s="4" t="s">
        <v>171</v>
      </c>
    </row>
    <row r="18" customFormat="false" ht="57" hidden="false" customHeight="true" outlineLevel="0" collapsed="false">
      <c r="A18" s="17" t="s">
        <v>172</v>
      </c>
      <c r="B18" s="5" t="s">
        <v>173</v>
      </c>
      <c r="C18" s="5" t="s">
        <v>174</v>
      </c>
      <c r="D18" s="5" t="s">
        <v>175</v>
      </c>
      <c r="E18" s="5" t="s">
        <v>115</v>
      </c>
      <c r="F18" s="5" t="s">
        <v>176</v>
      </c>
      <c r="G18" s="5"/>
      <c r="H18" s="4" t="s">
        <v>177</v>
      </c>
      <c r="I18" s="18"/>
      <c r="J18" s="19" t="n">
        <f aca="false">COUNTIFS(Tasks!$W$5:$W$300,A18,Tasks!$M$5:$M$300,"&lt;&gt;مكتمل")</f>
        <v>0</v>
      </c>
      <c r="K18" s="4"/>
    </row>
    <row r="20" customFormat="false" ht="15" hidden="false" customHeight="true" outlineLevel="0" collapsed="false">
      <c r="A20" s="7" t="s">
        <v>178</v>
      </c>
    </row>
  </sheetData>
  <conditionalFormatting sqref="H5:H28">
    <cfRule type="cellIs" priority="2" operator="equal" aboveAverage="0" equalAverage="0" bottom="0" percent="0" rank="0" text="" dxfId="1">
      <formula>"نعم"</formula>
    </cfRule>
    <cfRule type="cellIs" priority="3" operator="equal" aboveAverage="0" equalAverage="0" bottom="0" percent="0" rank="0" text="" dxfId="2">
      <formula>"جزئي"</formula>
    </cfRule>
    <cfRule type="cellIs" priority="4" operator="equal" aboveAverage="0" equalAverage="0" bottom="0" percent="0" rank="0" text="" dxfId="0">
      <formula>"لا"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H5:H28" type="list">
      <formula1>"نعم,جزئي,لا"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7" min="5" style="1" width="6"/>
    <col collapsed="false" customWidth="true" hidden="false" outlineLevel="0" max="11" min="8" style="1" width="10"/>
    <col collapsed="false" customWidth="true" hidden="false" outlineLevel="0" max="12" min="12" style="1" width="26"/>
    <col collapsed="false" customWidth="true" hidden="false" outlineLevel="0" max="13" min="13" style="1" width="40"/>
    <col collapsed="false" customWidth="true" hidden="false" outlineLevel="0" max="14" min="14" style="1" width="50"/>
  </cols>
  <sheetData>
    <row r="1" customFormat="false" ht="19.5" hidden="false" customHeight="true" outlineLevel="0" collapsed="false">
      <c r="A1" s="2" t="s">
        <v>179</v>
      </c>
    </row>
    <row r="2" customFormat="false" ht="15" hidden="false" customHeight="true" outlineLevel="0" collapsed="false">
      <c r="A2" s="7" t="s">
        <v>180</v>
      </c>
    </row>
    <row r="3" customFormat="false" ht="15" hidden="false" customHeight="true" outlineLevel="0" collapsed="false">
      <c r="A3" s="20" t="s">
        <v>181</v>
      </c>
      <c r="B3" s="21" t="n">
        <v>1</v>
      </c>
      <c r="C3" s="20" t="s">
        <v>182</v>
      </c>
      <c r="D3" s="21" t="n">
        <v>3</v>
      </c>
      <c r="E3" s="20" t="s">
        <v>183</v>
      </c>
      <c r="F3" s="21" t="n">
        <v>5</v>
      </c>
    </row>
    <row r="5" customFormat="false" ht="31.5" hidden="false" customHeight="true" outlineLevel="0" collapsed="false">
      <c r="A5" s="16" t="s">
        <v>67</v>
      </c>
      <c r="B5" s="16" t="s">
        <v>68</v>
      </c>
      <c r="C5" s="16" t="s">
        <v>69</v>
      </c>
      <c r="D5" s="16" t="s">
        <v>184</v>
      </c>
      <c r="E5" s="16" t="s">
        <v>185</v>
      </c>
      <c r="F5" s="16" t="s">
        <v>186</v>
      </c>
      <c r="G5" s="16" t="s">
        <v>187</v>
      </c>
      <c r="H5" s="16" t="s">
        <v>188</v>
      </c>
      <c r="I5" s="16" t="s">
        <v>189</v>
      </c>
      <c r="J5" s="16" t="s">
        <v>190</v>
      </c>
      <c r="K5" s="16" t="s">
        <v>191</v>
      </c>
      <c r="L5" s="16" t="s">
        <v>192</v>
      </c>
      <c r="M5" s="16" t="s">
        <v>193</v>
      </c>
      <c r="N5" s="16" t="s">
        <v>194</v>
      </c>
    </row>
    <row r="6" customFormat="false" ht="15" hidden="false" customHeight="true" outlineLevel="0" collapsed="false">
      <c r="A6" s="17" t="s">
        <v>195</v>
      </c>
      <c r="B6" s="5" t="s">
        <v>196</v>
      </c>
      <c r="C6" s="5" t="s">
        <v>197</v>
      </c>
      <c r="D6" s="19" t="n">
        <f aca="false">COUNTIF(Tasks!$B$5:$B$300,A6)</f>
        <v>20</v>
      </c>
      <c r="E6" s="19" t="n">
        <f aca="false">COUNTIFS(Tasks!$B$5:$B$300,A6,Tasks!$L$5:$L$300,"S")</f>
        <v>13</v>
      </c>
      <c r="F6" s="19" t="n">
        <f aca="false">COUNTIFS(Tasks!$B$5:$B$300,A6,Tasks!$L$5:$L$300,"M")</f>
        <v>7</v>
      </c>
      <c r="G6" s="19" t="n">
        <f aca="false">COUNTIFS(Tasks!$B$5:$B$300,A6,Tasks!$L$5:$L$300,"L")</f>
        <v>0</v>
      </c>
      <c r="H6" s="19" t="n">
        <f aca="false">E6*$B$3+F6*$D$3+G6*$F$3</f>
        <v>34</v>
      </c>
      <c r="I6" s="19" t="n">
        <f aca="false">COUNTIFS(Tasks!$B$5:$B$300,A6,Tasks!$U$5:$U$300,"نعم")</f>
        <v>0</v>
      </c>
      <c r="J6" s="19" t="n">
        <f aca="false">COUNTIFS(Tasks!$B$5:$B$300,A6,Tasks!$U$5:$U$300,"جزئي")</f>
        <v>0</v>
      </c>
      <c r="K6" s="19" t="n">
        <f aca="false">COUNTIFS(Tasks!$B$5:$B$300,A6,Tasks!$U$5:$U$300,"لا")</f>
        <v>20</v>
      </c>
      <c r="L6" s="5" t="s">
        <v>198</v>
      </c>
      <c r="M6" s="5" t="s">
        <v>199</v>
      </c>
      <c r="N6" s="5" t="s">
        <v>200</v>
      </c>
    </row>
    <row r="7" customFormat="false" ht="15" hidden="false" customHeight="true" outlineLevel="0" collapsed="false">
      <c r="A7" s="17" t="s">
        <v>201</v>
      </c>
      <c r="B7" s="5" t="s">
        <v>202</v>
      </c>
      <c r="C7" s="5" t="s">
        <v>203</v>
      </c>
      <c r="D7" s="19" t="n">
        <f aca="false">COUNTIF(Tasks!$B$5:$B$300,A7)</f>
        <v>7</v>
      </c>
      <c r="E7" s="19" t="n">
        <f aca="false">COUNTIFS(Tasks!$B$5:$B$300,A7,Tasks!$L$5:$L$300,"S")</f>
        <v>5</v>
      </c>
      <c r="F7" s="19" t="n">
        <f aca="false">COUNTIFS(Tasks!$B$5:$B$300,A7,Tasks!$L$5:$L$300,"M")</f>
        <v>2</v>
      </c>
      <c r="G7" s="19" t="n">
        <f aca="false">COUNTIFS(Tasks!$B$5:$B$300,A7,Tasks!$L$5:$L$300,"L")</f>
        <v>0</v>
      </c>
      <c r="H7" s="19" t="n">
        <f aca="false">E7*$B$3+F7*$D$3+G7*$F$3</f>
        <v>11</v>
      </c>
      <c r="I7" s="19" t="n">
        <f aca="false">COUNTIFS(Tasks!$B$5:$B$300,A7,Tasks!$U$5:$U$300,"نعم")</f>
        <v>7</v>
      </c>
      <c r="J7" s="19" t="n">
        <f aca="false">COUNTIFS(Tasks!$B$5:$B$300,A7,Tasks!$U$5:$U$300,"جزئي")</f>
        <v>0</v>
      </c>
      <c r="K7" s="19" t="n">
        <f aca="false">COUNTIFS(Tasks!$B$5:$B$300,A7,Tasks!$U$5:$U$300,"لا")</f>
        <v>0</v>
      </c>
      <c r="L7" s="5" t="s">
        <v>204</v>
      </c>
      <c r="M7" s="5" t="s">
        <v>115</v>
      </c>
      <c r="N7" s="5" t="s">
        <v>205</v>
      </c>
    </row>
    <row r="8" customFormat="false" ht="23.25" hidden="false" customHeight="true" outlineLevel="0" collapsed="false">
      <c r="A8" s="17" t="s">
        <v>206</v>
      </c>
      <c r="B8" s="5" t="s">
        <v>207</v>
      </c>
      <c r="C8" s="5" t="s">
        <v>208</v>
      </c>
      <c r="D8" s="19" t="n">
        <f aca="false">COUNTIF(Tasks!$B$5:$B$300,A8)</f>
        <v>8</v>
      </c>
      <c r="E8" s="19" t="n">
        <f aca="false">COUNTIFS(Tasks!$B$5:$B$300,A8,Tasks!$L$5:$L$300,"S")</f>
        <v>4</v>
      </c>
      <c r="F8" s="19" t="n">
        <f aca="false">COUNTIFS(Tasks!$B$5:$B$300,A8,Tasks!$L$5:$L$300,"M")</f>
        <v>4</v>
      </c>
      <c r="G8" s="19" t="n">
        <f aca="false">COUNTIFS(Tasks!$B$5:$B$300,A8,Tasks!$L$5:$L$300,"L")</f>
        <v>0</v>
      </c>
      <c r="H8" s="19" t="n">
        <f aca="false">E8*$B$3+F8*$D$3+G8*$F$3</f>
        <v>16</v>
      </c>
      <c r="I8" s="19" t="n">
        <f aca="false">COUNTIFS(Tasks!$B$5:$B$300,A8,Tasks!$U$5:$U$300,"نعم")</f>
        <v>3</v>
      </c>
      <c r="J8" s="19" t="n">
        <f aca="false">COUNTIFS(Tasks!$B$5:$B$300,A8,Tasks!$U$5:$U$300,"جزئي")</f>
        <v>4</v>
      </c>
      <c r="K8" s="19" t="n">
        <f aca="false">COUNTIFS(Tasks!$B$5:$B$300,A8,Tasks!$U$5:$U$300,"لا")</f>
        <v>1</v>
      </c>
      <c r="L8" s="5" t="s">
        <v>209</v>
      </c>
      <c r="M8" s="5" t="s">
        <v>210</v>
      </c>
      <c r="N8" s="5" t="s">
        <v>211</v>
      </c>
    </row>
    <row r="9" customFormat="false" ht="23.25" hidden="false" customHeight="true" outlineLevel="0" collapsed="false">
      <c r="A9" s="17" t="s">
        <v>212</v>
      </c>
      <c r="B9" s="5" t="s">
        <v>213</v>
      </c>
      <c r="C9" s="5" t="s">
        <v>208</v>
      </c>
      <c r="D9" s="19" t="n">
        <f aca="false">COUNTIF(Tasks!$B$5:$B$300,A9)</f>
        <v>6</v>
      </c>
      <c r="E9" s="19" t="n">
        <f aca="false">COUNTIFS(Tasks!$B$5:$B$300,A9,Tasks!$L$5:$L$300,"S")</f>
        <v>4</v>
      </c>
      <c r="F9" s="19" t="n">
        <f aca="false">COUNTIFS(Tasks!$B$5:$B$300,A9,Tasks!$L$5:$L$300,"M")</f>
        <v>2</v>
      </c>
      <c r="G9" s="19" t="n">
        <f aca="false">COUNTIFS(Tasks!$B$5:$B$300,A9,Tasks!$L$5:$L$300,"L")</f>
        <v>0</v>
      </c>
      <c r="H9" s="19" t="n">
        <f aca="false">E9*$B$3+F9*$D$3+G9*$F$3</f>
        <v>10</v>
      </c>
      <c r="I9" s="19" t="n">
        <f aca="false">COUNTIFS(Tasks!$B$5:$B$300,A9,Tasks!$U$5:$U$300,"نعم")</f>
        <v>1</v>
      </c>
      <c r="J9" s="19" t="n">
        <f aca="false">COUNTIFS(Tasks!$B$5:$B$300,A9,Tasks!$U$5:$U$300,"جزئي")</f>
        <v>4</v>
      </c>
      <c r="K9" s="19" t="n">
        <f aca="false">COUNTIFS(Tasks!$B$5:$B$300,A9,Tasks!$U$5:$U$300,"لا")</f>
        <v>1</v>
      </c>
      <c r="L9" s="5" t="s">
        <v>209</v>
      </c>
      <c r="M9" s="5" t="s">
        <v>210</v>
      </c>
      <c r="N9" s="5" t="s">
        <v>211</v>
      </c>
    </row>
    <row r="10" customFormat="false" ht="23.25" hidden="false" customHeight="true" outlineLevel="0" collapsed="false">
      <c r="A10" s="17" t="s">
        <v>214</v>
      </c>
      <c r="B10" s="5" t="s">
        <v>215</v>
      </c>
      <c r="C10" s="5" t="s">
        <v>208</v>
      </c>
      <c r="D10" s="19" t="n">
        <f aca="false">COUNTIF(Tasks!$B$5:$B$300,A10)</f>
        <v>4</v>
      </c>
      <c r="E10" s="19" t="n">
        <f aca="false">COUNTIFS(Tasks!$B$5:$B$300,A10,Tasks!$L$5:$L$300,"S")</f>
        <v>4</v>
      </c>
      <c r="F10" s="19" t="n">
        <f aca="false">COUNTIFS(Tasks!$B$5:$B$300,A10,Tasks!$L$5:$L$300,"M")</f>
        <v>0</v>
      </c>
      <c r="G10" s="19" t="n">
        <f aca="false">COUNTIFS(Tasks!$B$5:$B$300,A10,Tasks!$L$5:$L$300,"L")</f>
        <v>0</v>
      </c>
      <c r="H10" s="19" t="n">
        <f aca="false">E10*$B$3+F10*$D$3+G10*$F$3</f>
        <v>4</v>
      </c>
      <c r="I10" s="19" t="n">
        <f aca="false">COUNTIFS(Tasks!$B$5:$B$300,A10,Tasks!$U$5:$U$300,"نعم")</f>
        <v>4</v>
      </c>
      <c r="J10" s="19" t="n">
        <f aca="false">COUNTIFS(Tasks!$B$5:$B$300,A10,Tasks!$U$5:$U$300,"جزئي")</f>
        <v>0</v>
      </c>
      <c r="K10" s="19" t="n">
        <f aca="false">COUNTIFS(Tasks!$B$5:$B$300,A10,Tasks!$U$5:$U$300,"لا")</f>
        <v>0</v>
      </c>
      <c r="L10" s="5" t="s">
        <v>209</v>
      </c>
      <c r="M10" s="5" t="s">
        <v>210</v>
      </c>
      <c r="N10" s="5" t="s">
        <v>211</v>
      </c>
    </row>
    <row r="11" customFormat="false" ht="23.25" hidden="false" customHeight="true" outlineLevel="0" collapsed="false">
      <c r="A11" s="17" t="s">
        <v>216</v>
      </c>
      <c r="B11" s="5" t="s">
        <v>217</v>
      </c>
      <c r="C11" s="5" t="s">
        <v>208</v>
      </c>
      <c r="D11" s="19" t="n">
        <f aca="false">COUNTIF(Tasks!$B$5:$B$300,A11)</f>
        <v>8</v>
      </c>
      <c r="E11" s="19" t="n">
        <f aca="false">COUNTIFS(Tasks!$B$5:$B$300,A11,Tasks!$L$5:$L$300,"S")</f>
        <v>5</v>
      </c>
      <c r="F11" s="19" t="n">
        <f aca="false">COUNTIFS(Tasks!$B$5:$B$300,A11,Tasks!$L$5:$L$300,"M")</f>
        <v>3</v>
      </c>
      <c r="G11" s="19" t="n">
        <f aca="false">COUNTIFS(Tasks!$B$5:$B$300,A11,Tasks!$L$5:$L$300,"L")</f>
        <v>0</v>
      </c>
      <c r="H11" s="19" t="n">
        <f aca="false">E11*$B$3+F11*$D$3+G11*$F$3</f>
        <v>14</v>
      </c>
      <c r="I11" s="19" t="n">
        <f aca="false">COUNTIFS(Tasks!$B$5:$B$300,A11,Tasks!$U$5:$U$300,"نعم")</f>
        <v>1</v>
      </c>
      <c r="J11" s="19" t="n">
        <f aca="false">COUNTIFS(Tasks!$B$5:$B$300,A11,Tasks!$U$5:$U$300,"جزئي")</f>
        <v>1</v>
      </c>
      <c r="K11" s="19" t="n">
        <f aca="false">COUNTIFS(Tasks!$B$5:$B$300,A11,Tasks!$U$5:$U$300,"لا")</f>
        <v>6</v>
      </c>
      <c r="L11" s="5" t="s">
        <v>209</v>
      </c>
      <c r="M11" s="5" t="s">
        <v>210</v>
      </c>
      <c r="N11" s="5" t="s">
        <v>211</v>
      </c>
    </row>
    <row r="12" customFormat="false" ht="23.25" hidden="false" customHeight="true" outlineLevel="0" collapsed="false">
      <c r="A12" s="17" t="s">
        <v>218</v>
      </c>
      <c r="B12" s="5" t="s">
        <v>219</v>
      </c>
      <c r="C12" s="5" t="s">
        <v>208</v>
      </c>
      <c r="D12" s="19" t="n">
        <f aca="false">COUNTIF(Tasks!$B$5:$B$300,A12)</f>
        <v>6</v>
      </c>
      <c r="E12" s="19" t="n">
        <f aca="false">COUNTIFS(Tasks!$B$5:$B$300,A12,Tasks!$L$5:$L$300,"S")</f>
        <v>3</v>
      </c>
      <c r="F12" s="19" t="n">
        <f aca="false">COUNTIFS(Tasks!$B$5:$B$300,A12,Tasks!$L$5:$L$300,"M")</f>
        <v>3</v>
      </c>
      <c r="G12" s="19" t="n">
        <f aca="false">COUNTIFS(Tasks!$B$5:$B$300,A12,Tasks!$L$5:$L$300,"L")</f>
        <v>0</v>
      </c>
      <c r="H12" s="19" t="n">
        <f aca="false">E12*$B$3+F12*$D$3+G12*$F$3</f>
        <v>12</v>
      </c>
      <c r="I12" s="19" t="n">
        <f aca="false">COUNTIFS(Tasks!$B$5:$B$300,A12,Tasks!$U$5:$U$300,"نعم")</f>
        <v>3</v>
      </c>
      <c r="J12" s="19" t="n">
        <f aca="false">COUNTIFS(Tasks!$B$5:$B$300,A12,Tasks!$U$5:$U$300,"جزئي")</f>
        <v>2</v>
      </c>
      <c r="K12" s="19" t="n">
        <f aca="false">COUNTIFS(Tasks!$B$5:$B$300,A12,Tasks!$U$5:$U$300,"لا")</f>
        <v>1</v>
      </c>
      <c r="L12" s="5" t="s">
        <v>209</v>
      </c>
      <c r="M12" s="5" t="s">
        <v>210</v>
      </c>
      <c r="N12" s="5" t="s">
        <v>211</v>
      </c>
    </row>
    <row r="13" customFormat="false" ht="23.25" hidden="false" customHeight="true" outlineLevel="0" collapsed="false">
      <c r="A13" s="17" t="s">
        <v>220</v>
      </c>
      <c r="B13" s="5" t="s">
        <v>221</v>
      </c>
      <c r="C13" s="5" t="s">
        <v>208</v>
      </c>
      <c r="D13" s="19" t="n">
        <f aca="false">COUNTIF(Tasks!$B$5:$B$300,A13)</f>
        <v>8</v>
      </c>
      <c r="E13" s="19" t="n">
        <f aca="false">COUNTIFS(Tasks!$B$5:$B$300,A13,Tasks!$L$5:$L$300,"S")</f>
        <v>4</v>
      </c>
      <c r="F13" s="19" t="n">
        <f aca="false">COUNTIFS(Tasks!$B$5:$B$300,A13,Tasks!$L$5:$L$300,"M")</f>
        <v>3</v>
      </c>
      <c r="G13" s="19" t="n">
        <f aca="false">COUNTIFS(Tasks!$B$5:$B$300,A13,Tasks!$L$5:$L$300,"L")</f>
        <v>1</v>
      </c>
      <c r="H13" s="19" t="n">
        <f aca="false">E13*$B$3+F13*$D$3+G13*$F$3</f>
        <v>18</v>
      </c>
      <c r="I13" s="19" t="n">
        <f aca="false">COUNTIFS(Tasks!$B$5:$B$300,A13,Tasks!$U$5:$U$300,"نعم")</f>
        <v>2</v>
      </c>
      <c r="J13" s="19" t="n">
        <f aca="false">COUNTIFS(Tasks!$B$5:$B$300,A13,Tasks!$U$5:$U$300,"جزئي")</f>
        <v>0</v>
      </c>
      <c r="K13" s="19" t="n">
        <f aca="false">COUNTIFS(Tasks!$B$5:$B$300,A13,Tasks!$U$5:$U$300,"لا")</f>
        <v>6</v>
      </c>
      <c r="L13" s="5" t="s">
        <v>209</v>
      </c>
      <c r="M13" s="5" t="s">
        <v>210</v>
      </c>
      <c r="N13" s="5" t="s">
        <v>211</v>
      </c>
    </row>
    <row r="14" customFormat="false" ht="23.25" hidden="false" customHeight="true" outlineLevel="0" collapsed="false">
      <c r="A14" s="17" t="s">
        <v>222</v>
      </c>
      <c r="B14" s="5" t="s">
        <v>223</v>
      </c>
      <c r="C14" s="5" t="s">
        <v>208</v>
      </c>
      <c r="D14" s="19" t="n">
        <f aca="false">COUNTIF(Tasks!$B$5:$B$300,A14)</f>
        <v>5</v>
      </c>
      <c r="E14" s="19" t="n">
        <f aca="false">COUNTIFS(Tasks!$B$5:$B$300,A14,Tasks!$L$5:$L$300,"S")</f>
        <v>2</v>
      </c>
      <c r="F14" s="19" t="n">
        <f aca="false">COUNTIFS(Tasks!$B$5:$B$300,A14,Tasks!$L$5:$L$300,"M")</f>
        <v>3</v>
      </c>
      <c r="G14" s="19" t="n">
        <f aca="false">COUNTIFS(Tasks!$B$5:$B$300,A14,Tasks!$L$5:$L$300,"L")</f>
        <v>0</v>
      </c>
      <c r="H14" s="19" t="n">
        <f aca="false">E14*$B$3+F14*$D$3+G14*$F$3</f>
        <v>11</v>
      </c>
      <c r="I14" s="19" t="n">
        <f aca="false">COUNTIFS(Tasks!$B$5:$B$300,A14,Tasks!$U$5:$U$300,"نعم")</f>
        <v>3</v>
      </c>
      <c r="J14" s="19" t="n">
        <f aca="false">COUNTIFS(Tasks!$B$5:$B$300,A14,Tasks!$U$5:$U$300,"جزئي")</f>
        <v>0</v>
      </c>
      <c r="K14" s="19" t="n">
        <f aca="false">COUNTIFS(Tasks!$B$5:$B$300,A14,Tasks!$U$5:$U$300,"لا")</f>
        <v>2</v>
      </c>
      <c r="L14" s="5" t="s">
        <v>209</v>
      </c>
      <c r="M14" s="5" t="s">
        <v>210</v>
      </c>
      <c r="N14" s="5" t="s">
        <v>211</v>
      </c>
    </row>
    <row r="15" customFormat="false" ht="23.25" hidden="false" customHeight="true" outlineLevel="0" collapsed="false">
      <c r="A15" s="17" t="s">
        <v>224</v>
      </c>
      <c r="B15" s="5" t="s">
        <v>225</v>
      </c>
      <c r="C15" s="5" t="s">
        <v>208</v>
      </c>
      <c r="D15" s="19" t="n">
        <f aca="false">COUNTIF(Tasks!$B$5:$B$300,A15)</f>
        <v>4</v>
      </c>
      <c r="E15" s="19" t="n">
        <f aca="false">COUNTIFS(Tasks!$B$5:$B$300,A15,Tasks!$L$5:$L$300,"S")</f>
        <v>2</v>
      </c>
      <c r="F15" s="19" t="n">
        <f aca="false">COUNTIFS(Tasks!$B$5:$B$300,A15,Tasks!$L$5:$L$300,"M")</f>
        <v>2</v>
      </c>
      <c r="G15" s="19" t="n">
        <f aca="false">COUNTIFS(Tasks!$B$5:$B$300,A15,Tasks!$L$5:$L$300,"L")</f>
        <v>0</v>
      </c>
      <c r="H15" s="19" t="n">
        <f aca="false">E15*$B$3+F15*$D$3+G15*$F$3</f>
        <v>8</v>
      </c>
      <c r="I15" s="19" t="n">
        <f aca="false">COUNTIFS(Tasks!$B$5:$B$300,A15,Tasks!$U$5:$U$300,"نعم")</f>
        <v>1</v>
      </c>
      <c r="J15" s="19" t="n">
        <f aca="false">COUNTIFS(Tasks!$B$5:$B$300,A15,Tasks!$U$5:$U$300,"جزئي")</f>
        <v>0</v>
      </c>
      <c r="K15" s="19" t="n">
        <f aca="false">COUNTIFS(Tasks!$B$5:$B$300,A15,Tasks!$U$5:$U$300,"لا")</f>
        <v>3</v>
      </c>
      <c r="L15" s="5" t="s">
        <v>209</v>
      </c>
      <c r="M15" s="5" t="s">
        <v>210</v>
      </c>
      <c r="N15" s="5" t="s">
        <v>211</v>
      </c>
    </row>
    <row r="16" customFormat="false" ht="23.25" hidden="false" customHeight="true" outlineLevel="0" collapsed="false">
      <c r="A16" s="17" t="s">
        <v>226</v>
      </c>
      <c r="B16" s="5" t="s">
        <v>227</v>
      </c>
      <c r="C16" s="5" t="s">
        <v>208</v>
      </c>
      <c r="D16" s="19" t="n">
        <f aca="false">COUNTIF(Tasks!$B$5:$B$300,A16)</f>
        <v>4</v>
      </c>
      <c r="E16" s="19" t="n">
        <f aca="false">COUNTIFS(Tasks!$B$5:$B$300,A16,Tasks!$L$5:$L$300,"S")</f>
        <v>3</v>
      </c>
      <c r="F16" s="19" t="n">
        <f aca="false">COUNTIFS(Tasks!$B$5:$B$300,A16,Tasks!$L$5:$L$300,"M")</f>
        <v>1</v>
      </c>
      <c r="G16" s="19" t="n">
        <f aca="false">COUNTIFS(Tasks!$B$5:$B$300,A16,Tasks!$L$5:$L$300,"L")</f>
        <v>0</v>
      </c>
      <c r="H16" s="19" t="n">
        <f aca="false">E16*$B$3+F16*$D$3+G16*$F$3</f>
        <v>6</v>
      </c>
      <c r="I16" s="19" t="n">
        <f aca="false">COUNTIFS(Tasks!$B$5:$B$300,A16,Tasks!$U$5:$U$300,"نعم")</f>
        <v>2</v>
      </c>
      <c r="J16" s="19" t="n">
        <f aca="false">COUNTIFS(Tasks!$B$5:$B$300,A16,Tasks!$U$5:$U$300,"جزئي")</f>
        <v>0</v>
      </c>
      <c r="K16" s="19" t="n">
        <f aca="false">COUNTIFS(Tasks!$B$5:$B$300,A16,Tasks!$U$5:$U$300,"لا")</f>
        <v>2</v>
      </c>
      <c r="L16" s="5" t="s">
        <v>209</v>
      </c>
      <c r="M16" s="5" t="s">
        <v>210</v>
      </c>
      <c r="N16" s="5" t="s">
        <v>211</v>
      </c>
    </row>
    <row r="17" customFormat="false" ht="23.25" hidden="false" customHeight="true" outlineLevel="0" collapsed="false">
      <c r="A17" s="17" t="s">
        <v>228</v>
      </c>
      <c r="B17" s="5" t="s">
        <v>229</v>
      </c>
      <c r="C17" s="5" t="s">
        <v>208</v>
      </c>
      <c r="D17" s="19" t="n">
        <f aca="false">COUNTIF(Tasks!$B$5:$B$300,A17)</f>
        <v>6</v>
      </c>
      <c r="E17" s="19" t="n">
        <f aca="false">COUNTIFS(Tasks!$B$5:$B$300,A17,Tasks!$L$5:$L$300,"S")</f>
        <v>3</v>
      </c>
      <c r="F17" s="19" t="n">
        <f aca="false">COUNTIFS(Tasks!$B$5:$B$300,A17,Tasks!$L$5:$L$300,"M")</f>
        <v>3</v>
      </c>
      <c r="G17" s="19" t="n">
        <f aca="false">COUNTIFS(Tasks!$B$5:$B$300,A17,Tasks!$L$5:$L$300,"L")</f>
        <v>0</v>
      </c>
      <c r="H17" s="19" t="n">
        <f aca="false">E17*$B$3+F17*$D$3+G17*$F$3</f>
        <v>12</v>
      </c>
      <c r="I17" s="19" t="n">
        <f aca="false">COUNTIFS(Tasks!$B$5:$B$300,A17,Tasks!$U$5:$U$300,"نعم")</f>
        <v>3</v>
      </c>
      <c r="J17" s="19" t="n">
        <f aca="false">COUNTIFS(Tasks!$B$5:$B$300,A17,Tasks!$U$5:$U$300,"جزئي")</f>
        <v>0</v>
      </c>
      <c r="K17" s="19" t="n">
        <f aca="false">COUNTIFS(Tasks!$B$5:$B$300,A17,Tasks!$U$5:$U$300,"لا")</f>
        <v>3</v>
      </c>
      <c r="L17" s="5" t="s">
        <v>209</v>
      </c>
      <c r="M17" s="5" t="s">
        <v>210</v>
      </c>
      <c r="N17" s="5" t="s">
        <v>211</v>
      </c>
    </row>
    <row r="18" customFormat="false" ht="23.25" hidden="false" customHeight="true" outlineLevel="0" collapsed="false">
      <c r="A18" s="17" t="s">
        <v>230</v>
      </c>
      <c r="B18" s="5" t="s">
        <v>231</v>
      </c>
      <c r="C18" s="5" t="s">
        <v>208</v>
      </c>
      <c r="D18" s="19" t="n">
        <f aca="false">COUNTIF(Tasks!$B$5:$B$300,A18)</f>
        <v>4</v>
      </c>
      <c r="E18" s="19" t="n">
        <f aca="false">COUNTIFS(Tasks!$B$5:$B$300,A18,Tasks!$L$5:$L$300,"S")</f>
        <v>3</v>
      </c>
      <c r="F18" s="19" t="n">
        <f aca="false">COUNTIFS(Tasks!$B$5:$B$300,A18,Tasks!$L$5:$L$300,"M")</f>
        <v>1</v>
      </c>
      <c r="G18" s="19" t="n">
        <f aca="false">COUNTIFS(Tasks!$B$5:$B$300,A18,Tasks!$L$5:$L$300,"L")</f>
        <v>0</v>
      </c>
      <c r="H18" s="19" t="n">
        <f aca="false">E18*$B$3+F18*$D$3+G18*$F$3</f>
        <v>6</v>
      </c>
      <c r="I18" s="19" t="n">
        <f aca="false">COUNTIFS(Tasks!$B$5:$B$300,A18,Tasks!$U$5:$U$300,"نعم")</f>
        <v>3</v>
      </c>
      <c r="J18" s="19" t="n">
        <f aca="false">COUNTIFS(Tasks!$B$5:$B$300,A18,Tasks!$U$5:$U$300,"جزئي")</f>
        <v>0</v>
      </c>
      <c r="K18" s="19" t="n">
        <f aca="false">COUNTIFS(Tasks!$B$5:$B$300,A18,Tasks!$U$5:$U$300,"لا")</f>
        <v>1</v>
      </c>
      <c r="L18" s="5" t="s">
        <v>209</v>
      </c>
      <c r="M18" s="5" t="s">
        <v>210</v>
      </c>
      <c r="N18" s="5" t="s">
        <v>211</v>
      </c>
    </row>
    <row r="19" customFormat="false" ht="23.25" hidden="false" customHeight="true" outlineLevel="0" collapsed="false">
      <c r="A19" s="17" t="s">
        <v>232</v>
      </c>
      <c r="B19" s="5" t="s">
        <v>233</v>
      </c>
      <c r="C19" s="5" t="s">
        <v>208</v>
      </c>
      <c r="D19" s="19" t="n">
        <f aca="false">COUNTIF(Tasks!$B$5:$B$300,A19)</f>
        <v>5</v>
      </c>
      <c r="E19" s="19" t="n">
        <f aca="false">COUNTIFS(Tasks!$B$5:$B$300,A19,Tasks!$L$5:$L$300,"S")</f>
        <v>4</v>
      </c>
      <c r="F19" s="19" t="n">
        <f aca="false">COUNTIFS(Tasks!$B$5:$B$300,A19,Tasks!$L$5:$L$300,"M")</f>
        <v>1</v>
      </c>
      <c r="G19" s="19" t="n">
        <f aca="false">COUNTIFS(Tasks!$B$5:$B$300,A19,Tasks!$L$5:$L$300,"L")</f>
        <v>0</v>
      </c>
      <c r="H19" s="19" t="n">
        <f aca="false">E19*$B$3+F19*$D$3+G19*$F$3</f>
        <v>7</v>
      </c>
      <c r="I19" s="19" t="n">
        <f aca="false">COUNTIFS(Tasks!$B$5:$B$300,A19,Tasks!$U$5:$U$300,"نعم")</f>
        <v>4</v>
      </c>
      <c r="J19" s="19" t="n">
        <f aca="false">COUNTIFS(Tasks!$B$5:$B$300,A19,Tasks!$U$5:$U$300,"جزئي")</f>
        <v>0</v>
      </c>
      <c r="K19" s="19" t="n">
        <f aca="false">COUNTIFS(Tasks!$B$5:$B$300,A19,Tasks!$U$5:$U$300,"لا")</f>
        <v>1</v>
      </c>
      <c r="L19" s="5" t="s">
        <v>209</v>
      </c>
      <c r="M19" s="5" t="s">
        <v>210</v>
      </c>
      <c r="N19" s="5" t="s">
        <v>211</v>
      </c>
    </row>
    <row r="20" customFormat="false" ht="23.25" hidden="false" customHeight="true" outlineLevel="0" collapsed="false">
      <c r="A20" s="17" t="s">
        <v>234</v>
      </c>
      <c r="B20" s="5" t="s">
        <v>235</v>
      </c>
      <c r="C20" s="5" t="s">
        <v>208</v>
      </c>
      <c r="D20" s="19" t="n">
        <f aca="false">COUNTIF(Tasks!$B$5:$B$300,A20)</f>
        <v>4</v>
      </c>
      <c r="E20" s="19" t="n">
        <f aca="false">COUNTIFS(Tasks!$B$5:$B$300,A20,Tasks!$L$5:$L$300,"S")</f>
        <v>3</v>
      </c>
      <c r="F20" s="19" t="n">
        <f aca="false">COUNTIFS(Tasks!$B$5:$B$300,A20,Tasks!$L$5:$L$300,"M")</f>
        <v>1</v>
      </c>
      <c r="G20" s="19" t="n">
        <f aca="false">COUNTIFS(Tasks!$B$5:$B$300,A20,Tasks!$L$5:$L$300,"L")</f>
        <v>0</v>
      </c>
      <c r="H20" s="19" t="n">
        <f aca="false">E20*$B$3+F20*$D$3+G20*$F$3</f>
        <v>6</v>
      </c>
      <c r="I20" s="19" t="n">
        <f aca="false">COUNTIFS(Tasks!$B$5:$B$300,A20,Tasks!$U$5:$U$300,"نعم")</f>
        <v>3</v>
      </c>
      <c r="J20" s="19" t="n">
        <f aca="false">COUNTIFS(Tasks!$B$5:$B$300,A20,Tasks!$U$5:$U$300,"جزئي")</f>
        <v>0</v>
      </c>
      <c r="K20" s="19" t="n">
        <f aca="false">COUNTIFS(Tasks!$B$5:$B$300,A20,Tasks!$U$5:$U$300,"لا")</f>
        <v>1</v>
      </c>
      <c r="L20" s="5" t="s">
        <v>209</v>
      </c>
      <c r="M20" s="5" t="s">
        <v>210</v>
      </c>
      <c r="N20" s="5" t="s">
        <v>211</v>
      </c>
    </row>
    <row r="21" customFormat="false" ht="23.25" hidden="false" customHeight="true" outlineLevel="0" collapsed="false">
      <c r="A21" s="17" t="s">
        <v>236</v>
      </c>
      <c r="B21" s="5" t="s">
        <v>237</v>
      </c>
      <c r="C21" s="5" t="s">
        <v>208</v>
      </c>
      <c r="D21" s="19" t="n">
        <f aca="false">COUNTIF(Tasks!$B$5:$B$300,A21)</f>
        <v>5</v>
      </c>
      <c r="E21" s="19" t="n">
        <f aca="false">COUNTIFS(Tasks!$B$5:$B$300,A21,Tasks!$L$5:$L$300,"S")</f>
        <v>5</v>
      </c>
      <c r="F21" s="19" t="n">
        <f aca="false">COUNTIFS(Tasks!$B$5:$B$300,A21,Tasks!$L$5:$L$300,"M")</f>
        <v>0</v>
      </c>
      <c r="G21" s="19" t="n">
        <f aca="false">COUNTIFS(Tasks!$B$5:$B$300,A21,Tasks!$L$5:$L$300,"L")</f>
        <v>0</v>
      </c>
      <c r="H21" s="19" t="n">
        <f aca="false">E21*$B$3+F21*$D$3+G21*$F$3</f>
        <v>5</v>
      </c>
      <c r="I21" s="19" t="n">
        <f aca="false">COUNTIFS(Tasks!$B$5:$B$300,A21,Tasks!$U$5:$U$300,"نعم")</f>
        <v>0</v>
      </c>
      <c r="J21" s="19" t="n">
        <f aca="false">COUNTIFS(Tasks!$B$5:$B$300,A21,Tasks!$U$5:$U$300,"جزئي")</f>
        <v>0</v>
      </c>
      <c r="K21" s="19" t="n">
        <f aca="false">COUNTIFS(Tasks!$B$5:$B$300,A21,Tasks!$U$5:$U$300,"لا")</f>
        <v>5</v>
      </c>
      <c r="L21" s="5" t="s">
        <v>209</v>
      </c>
      <c r="M21" s="5" t="s">
        <v>210</v>
      </c>
      <c r="N21" s="5" t="s">
        <v>211</v>
      </c>
    </row>
    <row r="22" customFormat="false" ht="15" hidden="false" customHeight="true" outlineLevel="0" collapsed="false">
      <c r="A22" s="17" t="s">
        <v>238</v>
      </c>
      <c r="B22" s="5" t="s">
        <v>239</v>
      </c>
      <c r="C22" s="5" t="s">
        <v>208</v>
      </c>
      <c r="D22" s="19" t="n">
        <f aca="false">COUNTIF(Tasks!$B$5:$B$300,A22)</f>
        <v>7</v>
      </c>
      <c r="E22" s="19" t="n">
        <f aca="false">COUNTIFS(Tasks!$B$5:$B$300,A22,Tasks!$L$5:$L$300,"S")</f>
        <v>7</v>
      </c>
      <c r="F22" s="19" t="n">
        <f aca="false">COUNTIFS(Tasks!$B$5:$B$300,A22,Tasks!$L$5:$L$300,"M")</f>
        <v>0</v>
      </c>
      <c r="G22" s="19" t="n">
        <f aca="false">COUNTIFS(Tasks!$B$5:$B$300,A22,Tasks!$L$5:$L$300,"L")</f>
        <v>0</v>
      </c>
      <c r="H22" s="19" t="n">
        <f aca="false">E22*$B$3+F22*$D$3+G22*$F$3</f>
        <v>7</v>
      </c>
      <c r="I22" s="19" t="n">
        <f aca="false">COUNTIFS(Tasks!$B$5:$B$300,A22,Tasks!$U$5:$U$300,"نعم")</f>
        <v>0</v>
      </c>
      <c r="J22" s="19" t="n">
        <f aca="false">COUNTIFS(Tasks!$B$5:$B$300,A22,Tasks!$U$5:$U$300,"جزئي")</f>
        <v>0</v>
      </c>
      <c r="K22" s="19" t="n">
        <f aca="false">COUNTIFS(Tasks!$B$5:$B$300,A22,Tasks!$U$5:$U$300,"لا")</f>
        <v>7</v>
      </c>
      <c r="L22" s="5" t="s">
        <v>240</v>
      </c>
      <c r="M22" s="5" t="s">
        <v>241</v>
      </c>
      <c r="N22" s="5" t="s">
        <v>242</v>
      </c>
    </row>
    <row r="23" customFormat="false" ht="23.25" hidden="false" customHeight="true" outlineLevel="0" collapsed="false">
      <c r="A23" s="17" t="s">
        <v>243</v>
      </c>
      <c r="B23" s="5" t="s">
        <v>244</v>
      </c>
      <c r="C23" s="5" t="s">
        <v>208</v>
      </c>
      <c r="D23" s="19" t="n">
        <f aca="false">COUNTIF(Tasks!$B$5:$B$300,A23)</f>
        <v>5</v>
      </c>
      <c r="E23" s="19" t="n">
        <f aca="false">COUNTIFS(Tasks!$B$5:$B$300,A23,Tasks!$L$5:$L$300,"S")</f>
        <v>4</v>
      </c>
      <c r="F23" s="19" t="n">
        <f aca="false">COUNTIFS(Tasks!$B$5:$B$300,A23,Tasks!$L$5:$L$300,"M")</f>
        <v>1</v>
      </c>
      <c r="G23" s="19" t="n">
        <f aca="false">COUNTIFS(Tasks!$B$5:$B$300,A23,Tasks!$L$5:$L$300,"L")</f>
        <v>0</v>
      </c>
      <c r="H23" s="19" t="n">
        <f aca="false">E23*$B$3+F23*$D$3+G23*$F$3</f>
        <v>7</v>
      </c>
      <c r="I23" s="19" t="n">
        <f aca="false">COUNTIFS(Tasks!$B$5:$B$300,A23,Tasks!$U$5:$U$300,"نعم")</f>
        <v>2</v>
      </c>
      <c r="J23" s="19" t="n">
        <f aca="false">COUNTIFS(Tasks!$B$5:$B$300,A23,Tasks!$U$5:$U$300,"جزئي")</f>
        <v>0</v>
      </c>
      <c r="K23" s="19" t="n">
        <f aca="false">COUNTIFS(Tasks!$B$5:$B$300,A23,Tasks!$U$5:$U$300,"لا")</f>
        <v>3</v>
      </c>
      <c r="L23" s="5" t="s">
        <v>209</v>
      </c>
      <c r="M23" s="5" t="s">
        <v>210</v>
      </c>
      <c r="N23" s="5" t="s">
        <v>211</v>
      </c>
    </row>
    <row r="24" customFormat="false" ht="15" hidden="false" customHeight="true" outlineLevel="0" collapsed="false">
      <c r="A24" s="17" t="s">
        <v>245</v>
      </c>
      <c r="B24" s="5" t="s">
        <v>246</v>
      </c>
      <c r="C24" s="5" t="s">
        <v>208</v>
      </c>
      <c r="D24" s="19" t="n">
        <f aca="false">COUNTIF(Tasks!$B$5:$B$300,A24)</f>
        <v>4</v>
      </c>
      <c r="E24" s="19" t="n">
        <f aca="false">COUNTIFS(Tasks!$B$5:$B$300,A24,Tasks!$L$5:$L$300,"S")</f>
        <v>3</v>
      </c>
      <c r="F24" s="19" t="n">
        <f aca="false">COUNTIFS(Tasks!$B$5:$B$300,A24,Tasks!$L$5:$L$300,"M")</f>
        <v>1</v>
      </c>
      <c r="G24" s="19" t="n">
        <f aca="false">COUNTIFS(Tasks!$B$5:$B$300,A24,Tasks!$L$5:$L$300,"L")</f>
        <v>0</v>
      </c>
      <c r="H24" s="19" t="n">
        <f aca="false">E24*$B$3+F24*$D$3+G24*$F$3</f>
        <v>6</v>
      </c>
      <c r="I24" s="19" t="n">
        <f aca="false">COUNTIFS(Tasks!$B$5:$B$300,A24,Tasks!$U$5:$U$300,"نعم")</f>
        <v>0</v>
      </c>
      <c r="J24" s="19" t="n">
        <f aca="false">COUNTIFS(Tasks!$B$5:$B$300,A24,Tasks!$U$5:$U$300,"جزئي")</f>
        <v>0</v>
      </c>
      <c r="K24" s="19" t="n">
        <f aca="false">COUNTIFS(Tasks!$B$5:$B$300,A24,Tasks!$U$5:$U$300,"لا")</f>
        <v>4</v>
      </c>
      <c r="L24" s="5" t="s">
        <v>247</v>
      </c>
      <c r="M24" s="5" t="s">
        <v>248</v>
      </c>
      <c r="N24" s="5" t="s">
        <v>249</v>
      </c>
    </row>
    <row r="25" customFormat="false" ht="15" hidden="false" customHeight="true" outlineLevel="0" collapsed="false">
      <c r="A25" s="17" t="s">
        <v>250</v>
      </c>
      <c r="B25" s="5" t="s">
        <v>251</v>
      </c>
      <c r="C25" s="5" t="s">
        <v>252</v>
      </c>
      <c r="D25" s="19" t="n">
        <f aca="false">COUNTIF(Tasks!$B$5:$B$300,A25)</f>
        <v>9</v>
      </c>
      <c r="E25" s="19" t="n">
        <f aca="false">COUNTIFS(Tasks!$B$5:$B$300,A25,Tasks!$L$5:$L$300,"S")</f>
        <v>3</v>
      </c>
      <c r="F25" s="19" t="n">
        <f aca="false">COUNTIFS(Tasks!$B$5:$B$300,A25,Tasks!$L$5:$L$300,"M")</f>
        <v>4</v>
      </c>
      <c r="G25" s="19" t="n">
        <f aca="false">COUNTIFS(Tasks!$B$5:$B$300,A25,Tasks!$L$5:$L$300,"L")</f>
        <v>2</v>
      </c>
      <c r="H25" s="19" t="n">
        <f aca="false">E25*$B$3+F25*$D$3+G25*$F$3</f>
        <v>25</v>
      </c>
      <c r="I25" s="19" t="n">
        <f aca="false">COUNTIFS(Tasks!$B$5:$B$300,A25,Tasks!$U$5:$U$300,"نعم")</f>
        <v>0</v>
      </c>
      <c r="J25" s="19" t="n">
        <f aca="false">COUNTIFS(Tasks!$B$5:$B$300,A25,Tasks!$U$5:$U$300,"جزئي")</f>
        <v>0</v>
      </c>
      <c r="K25" s="19" t="n">
        <f aca="false">COUNTIFS(Tasks!$B$5:$B$300,A25,Tasks!$U$5:$U$300,"لا")</f>
        <v>9</v>
      </c>
      <c r="L25" s="5" t="s">
        <v>253</v>
      </c>
      <c r="M25" s="5" t="s">
        <v>115</v>
      </c>
      <c r="N25" s="5"/>
    </row>
    <row r="26" customFormat="false" ht="15" hidden="false" customHeight="true" outlineLevel="0" collapsed="false">
      <c r="A26" s="17" t="s">
        <v>254</v>
      </c>
      <c r="B26" s="5"/>
      <c r="C26" s="5"/>
      <c r="D26" s="17" t="n">
        <f aca="false">SUM(D6:D25)</f>
        <v>129</v>
      </c>
      <c r="E26" s="17" t="n">
        <f aca="false">SUM(E6:E25)</f>
        <v>84</v>
      </c>
      <c r="F26" s="17" t="n">
        <f aca="false">SUM(F6:F25)</f>
        <v>42</v>
      </c>
      <c r="G26" s="17" t="n">
        <f aca="false">SUM(G6:G25)</f>
        <v>3</v>
      </c>
      <c r="H26" s="17" t="n">
        <f aca="false">SUM(H6:H25)</f>
        <v>225</v>
      </c>
      <c r="I26" s="17" t="n">
        <f aca="false">SUM(I6:I25)</f>
        <v>42</v>
      </c>
      <c r="J26" s="17" t="n">
        <f aca="false">SUM(J6:J25)</f>
        <v>11</v>
      </c>
      <c r="K26" s="17" t="n">
        <f aca="false">SUM(K6:K25)</f>
        <v>76</v>
      </c>
      <c r="L26" s="5"/>
      <c r="M26" s="5"/>
      <c r="N26" s="5"/>
    </row>
    <row r="28" customFormat="false" ht="15" hidden="false" customHeight="true" outlineLevel="0" collapsed="false">
      <c r="A28" s="20" t="s">
        <v>255</v>
      </c>
    </row>
    <row r="29" customFormat="false" ht="15" hidden="false" customHeight="true" outlineLevel="0" collapsed="false">
      <c r="A29" s="22" t="s">
        <v>184</v>
      </c>
      <c r="B29" s="20" t="n">
        <f aca="false">COUNTIF(Tasks!$V$5:$V$300,"الآن")</f>
        <v>0</v>
      </c>
    </row>
    <row r="30" customFormat="false" ht="15" hidden="false" customHeight="true" outlineLevel="0" collapsed="false">
      <c r="A30" s="22" t="s">
        <v>256</v>
      </c>
      <c r="B30" s="20" t="n">
        <f aca="false">COUNTIFS(Tasks!$V$5:$V$300,"الآن",Tasks!$L$5:$L$300,"S")*$B$3+COUNTIFS(Tasks!$V$5:$V$300,"الآن",Tasks!$L$5:$L$300,"M")*$D$3+COUNTIFS(Tasks!$V$5:$V$300,"الآن",Tasks!$L$5:$L$300,"L")*$F$3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60"/>
    <col collapsed="false" customWidth="true" hidden="false" outlineLevel="0" max="5" min="5" style="1" width="46"/>
    <col collapsed="false" customWidth="true" hidden="false" outlineLevel="0" max="6" min="6" style="1" width="60"/>
  </cols>
  <sheetData>
    <row r="1" customFormat="false" ht="19.5" hidden="false" customHeight="true" outlineLevel="0" collapsed="false">
      <c r="A1" s="2" t="s">
        <v>257</v>
      </c>
    </row>
    <row r="2" customFormat="false" ht="15" hidden="false" customHeight="true" outlineLevel="0" collapsed="false">
      <c r="A2" s="7" t="s">
        <v>258</v>
      </c>
    </row>
    <row r="4" customFormat="false" ht="31.5" hidden="false" customHeight="true" outlineLevel="0" collapsed="false">
      <c r="A4" s="16" t="s">
        <v>259</v>
      </c>
      <c r="B4" s="16" t="s">
        <v>260</v>
      </c>
      <c r="C4" s="16" t="s">
        <v>261</v>
      </c>
      <c r="D4" s="16" t="s">
        <v>85</v>
      </c>
      <c r="E4" s="16" t="s">
        <v>262</v>
      </c>
      <c r="F4" s="16" t="s">
        <v>263</v>
      </c>
    </row>
    <row r="5" customFormat="false" ht="23.25" hidden="false" customHeight="true" outlineLevel="0" collapsed="false">
      <c r="A5" s="17" t="s">
        <v>197</v>
      </c>
      <c r="B5" s="5" t="s">
        <v>264</v>
      </c>
      <c r="C5" s="5" t="s">
        <v>265</v>
      </c>
      <c r="D5" s="5" t="s">
        <v>266</v>
      </c>
      <c r="E5" s="5" t="s">
        <v>267</v>
      </c>
      <c r="F5" s="5" t="s">
        <v>268</v>
      </c>
    </row>
    <row r="6" customFormat="false" ht="15" hidden="false" customHeight="true" outlineLevel="0" collapsed="false">
      <c r="A6" s="17" t="s">
        <v>203</v>
      </c>
      <c r="B6" s="5" t="s">
        <v>269</v>
      </c>
      <c r="C6" s="5" t="s">
        <v>201</v>
      </c>
      <c r="D6" s="5" t="s">
        <v>270</v>
      </c>
      <c r="E6" s="5" t="s">
        <v>271</v>
      </c>
      <c r="F6" s="5" t="s">
        <v>272</v>
      </c>
    </row>
    <row r="7" customFormat="false" ht="15" hidden="false" customHeight="true" outlineLevel="0" collapsed="false">
      <c r="A7" s="17" t="s">
        <v>208</v>
      </c>
      <c r="B7" s="5" t="s">
        <v>273</v>
      </c>
      <c r="C7" s="5" t="s">
        <v>274</v>
      </c>
      <c r="D7" s="5" t="s">
        <v>275</v>
      </c>
      <c r="E7" s="5" t="s">
        <v>276</v>
      </c>
      <c r="F7" s="5" t="s">
        <v>277</v>
      </c>
    </row>
    <row r="8" customFormat="false" ht="15" hidden="false" customHeight="true" outlineLevel="0" collapsed="false">
      <c r="A8" s="17" t="s">
        <v>208</v>
      </c>
      <c r="B8" s="5" t="s">
        <v>278</v>
      </c>
      <c r="C8" s="5" t="s">
        <v>279</v>
      </c>
      <c r="D8" s="5" t="s">
        <v>280</v>
      </c>
      <c r="E8" s="5" t="s">
        <v>281</v>
      </c>
      <c r="F8" s="5" t="s">
        <v>282</v>
      </c>
    </row>
    <row r="9" customFormat="false" ht="23.25" hidden="false" customHeight="true" outlineLevel="0" collapsed="false">
      <c r="A9" s="17" t="s">
        <v>208</v>
      </c>
      <c r="B9" s="5" t="s">
        <v>283</v>
      </c>
      <c r="C9" s="5" t="s">
        <v>284</v>
      </c>
      <c r="D9" s="5"/>
      <c r="E9" s="5" t="s">
        <v>276</v>
      </c>
      <c r="F9" s="5" t="s">
        <v>282</v>
      </c>
    </row>
    <row r="10" customFormat="false" ht="15" hidden="false" customHeight="true" outlineLevel="0" collapsed="false">
      <c r="A10" s="17" t="s">
        <v>208</v>
      </c>
      <c r="B10" s="5" t="s">
        <v>285</v>
      </c>
      <c r="C10" s="5" t="s">
        <v>286</v>
      </c>
      <c r="D10" s="5" t="s">
        <v>287</v>
      </c>
      <c r="E10" s="5" t="s">
        <v>288</v>
      </c>
      <c r="F10" s="5" t="s">
        <v>282</v>
      </c>
    </row>
    <row r="11" customFormat="false" ht="23.25" hidden="false" customHeight="true" outlineLevel="0" collapsed="false">
      <c r="A11" s="17" t="s">
        <v>208</v>
      </c>
      <c r="B11" s="5" t="s">
        <v>289</v>
      </c>
      <c r="C11" s="5" t="s">
        <v>290</v>
      </c>
      <c r="D11" s="5" t="s">
        <v>291</v>
      </c>
      <c r="E11" s="5" t="s">
        <v>276</v>
      </c>
      <c r="F11" s="5" t="s">
        <v>282</v>
      </c>
    </row>
    <row r="12" customFormat="false" ht="23.25" hidden="false" customHeight="true" outlineLevel="0" collapsed="false">
      <c r="A12" s="17" t="s">
        <v>208</v>
      </c>
      <c r="B12" s="5" t="s">
        <v>292</v>
      </c>
      <c r="C12" s="5" t="s">
        <v>293</v>
      </c>
      <c r="D12" s="5"/>
      <c r="E12" s="5" t="s">
        <v>276</v>
      </c>
      <c r="F12" s="5" t="s">
        <v>282</v>
      </c>
    </row>
    <row r="13" customFormat="false" ht="23.25" hidden="false" customHeight="true" outlineLevel="0" collapsed="false">
      <c r="A13" s="17" t="s">
        <v>208</v>
      </c>
      <c r="B13" s="5" t="s">
        <v>294</v>
      </c>
      <c r="C13" s="5" t="s">
        <v>295</v>
      </c>
      <c r="D13" s="5" t="s">
        <v>296</v>
      </c>
      <c r="E13" s="5" t="s">
        <v>276</v>
      </c>
      <c r="F13" s="5" t="s">
        <v>282</v>
      </c>
    </row>
    <row r="14" customFormat="false" ht="15" hidden="false" customHeight="true" outlineLevel="0" collapsed="false">
      <c r="A14" s="17" t="s">
        <v>252</v>
      </c>
      <c r="B14" s="5" t="s">
        <v>297</v>
      </c>
      <c r="C14" s="5" t="s">
        <v>250</v>
      </c>
      <c r="D14" s="5" t="s">
        <v>298</v>
      </c>
      <c r="E14" s="5" t="s">
        <v>299</v>
      </c>
      <c r="F14" s="5" t="s">
        <v>300</v>
      </c>
    </row>
    <row r="16" customFormat="false" ht="15" hidden="false" customHeight="true" outlineLevel="0" collapsed="false">
      <c r="A16" s="20" t="s">
        <v>301</v>
      </c>
    </row>
    <row r="17" customFormat="false" ht="31.5" hidden="false" customHeight="true" outlineLevel="0" collapsed="false">
      <c r="A17" s="23" t="s">
        <v>302</v>
      </c>
      <c r="B17" s="23"/>
      <c r="C17" s="23"/>
      <c r="D17" s="23"/>
      <c r="E17" s="23"/>
      <c r="F17" s="23"/>
    </row>
    <row r="18" customFormat="false" ht="31.5" hidden="false" customHeight="true" outlineLevel="0" collapsed="false">
      <c r="A18" s="23" t="s">
        <v>303</v>
      </c>
      <c r="B18" s="23"/>
      <c r="C18" s="23"/>
      <c r="D18" s="23"/>
      <c r="E18" s="23"/>
      <c r="F18" s="23"/>
    </row>
    <row r="19" customFormat="false" ht="31.5" hidden="false" customHeight="true" outlineLevel="0" collapsed="false">
      <c r="A19" s="23" t="s">
        <v>304</v>
      </c>
      <c r="B19" s="23"/>
      <c r="C19" s="23"/>
      <c r="D19" s="23"/>
      <c r="E19" s="23"/>
      <c r="F19" s="23"/>
    </row>
  </sheetData>
  <mergeCells count="3"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S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6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52"/>
    <col collapsed="false" customWidth="true" hidden="false" outlineLevel="0" max="6" min="6" style="1" width="22"/>
    <col collapsed="false" customWidth="true" hidden="false" outlineLevel="0" max="7" min="7" style="1" width="7"/>
    <col collapsed="false" customWidth="true" hidden="false" outlineLevel="0" max="8" min="8" style="1" width="28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2" min="11" style="1" width="9"/>
    <col collapsed="false" customWidth="true" hidden="false" outlineLevel="0" max="13" min="13" style="1" width="12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14"/>
    <col collapsed="false" customWidth="true" hidden="false" outlineLevel="0" max="17" min="17" style="1" width="10"/>
    <col collapsed="false" customWidth="true" hidden="false" outlineLevel="0" max="18" min="18" style="1" width="16"/>
    <col collapsed="false" customWidth="true" hidden="false" outlineLevel="0" max="19" min="19" style="1" width="26"/>
  </cols>
  <sheetData>
    <row r="1" customFormat="false" ht="18" hidden="false" customHeight="true" outlineLevel="0" collapsed="false">
      <c r="A1" s="2" t="s">
        <v>305</v>
      </c>
    </row>
    <row r="2" customFormat="false" ht="15" hidden="false" customHeight="true" outlineLevel="0" collapsed="false">
      <c r="A2" s="7" t="s">
        <v>306</v>
      </c>
    </row>
    <row r="4" customFormat="false" ht="31.5" hidden="false" customHeight="true" outlineLevel="0" collapsed="false">
      <c r="A4" s="16" t="s">
        <v>67</v>
      </c>
      <c r="B4" s="16" t="s">
        <v>68</v>
      </c>
      <c r="C4" s="16" t="s">
        <v>69</v>
      </c>
      <c r="D4" s="16" t="s">
        <v>307</v>
      </c>
      <c r="E4" s="16" t="s">
        <v>308</v>
      </c>
      <c r="F4" s="16" t="s">
        <v>309</v>
      </c>
      <c r="G4" s="16" t="s">
        <v>310</v>
      </c>
      <c r="H4" s="16" t="s">
        <v>311</v>
      </c>
      <c r="I4" s="16" t="s">
        <v>72</v>
      </c>
      <c r="J4" s="16" t="s">
        <v>312</v>
      </c>
      <c r="K4" s="16" t="s">
        <v>184</v>
      </c>
      <c r="L4" s="16" t="s">
        <v>30</v>
      </c>
      <c r="M4" s="16" t="s">
        <v>313</v>
      </c>
      <c r="N4" s="16" t="s">
        <v>33</v>
      </c>
      <c r="O4" s="16" t="s">
        <v>70</v>
      </c>
      <c r="P4" s="16" t="s">
        <v>314</v>
      </c>
      <c r="Q4" s="16" t="s">
        <v>315</v>
      </c>
      <c r="R4" s="16" t="s">
        <v>316</v>
      </c>
      <c r="S4" s="16" t="s">
        <v>85</v>
      </c>
    </row>
    <row r="5" customFormat="false" ht="57" hidden="false" customHeight="true" outlineLevel="0" collapsed="false">
      <c r="A5" s="17" t="s">
        <v>195</v>
      </c>
      <c r="B5" s="5" t="s">
        <v>196</v>
      </c>
      <c r="C5" s="5" t="s">
        <v>197</v>
      </c>
      <c r="D5" s="5" t="s">
        <v>317</v>
      </c>
      <c r="E5" s="5" t="s">
        <v>318</v>
      </c>
      <c r="F5" s="5" t="s">
        <v>115</v>
      </c>
      <c r="G5" s="5" t="s">
        <v>187</v>
      </c>
      <c r="H5" s="5" t="s">
        <v>319</v>
      </c>
      <c r="I5" s="4" t="s">
        <v>320</v>
      </c>
      <c r="J5" s="4" t="s">
        <v>321</v>
      </c>
      <c r="K5" s="19" t="n">
        <f aca="false">COUNTIF(Tasks!$B$5:$B$300,A5)</f>
        <v>20</v>
      </c>
      <c r="L5" s="19" t="n">
        <f aca="false">COUNTIFS(Tasks!$B$5:$B$300,A5,Tasks!$M$5:$M$300,"مكتمل")</f>
        <v>0</v>
      </c>
      <c r="M5" s="19" t="n">
        <f aca="false">COUNTIFS(Tasks!$B$5:$B$300,A5,Tasks!$M$5:$M$300,"قيد التنفيذ")+COUNTIFS(Tasks!$B$5:$B$300,A5,Tasks!$M$5:$M$300,"قيد المراجعة")</f>
        <v>19</v>
      </c>
      <c r="N5" s="19" t="n">
        <f aca="false">COUNTIFS(Tasks!$B$5:$B$300,A5,Tasks!$M$5:$M$300,"متوقف")</f>
        <v>0</v>
      </c>
      <c r="O5" s="24" t="n">
        <f aca="false">IF(K5=0,0,L5/K5)</f>
        <v>0</v>
      </c>
      <c r="P5" s="25" t="str">
        <f aca="false">IF(K5=0,"—",IF(L5=K5,"مكتمل",IF(N5&gt;0,"متوقف",IF(L5+M5&gt;0,"قيد التنفيذ","لم يبدأ"))))</f>
        <v>قيد التنفيذ</v>
      </c>
      <c r="Q5" s="4" t="s">
        <v>177</v>
      </c>
      <c r="R5" s="4"/>
      <c r="S5" s="4"/>
    </row>
    <row r="6" customFormat="false" ht="34.5" hidden="false" customHeight="true" outlineLevel="0" collapsed="false">
      <c r="A6" s="17" t="s">
        <v>201</v>
      </c>
      <c r="B6" s="5" t="s">
        <v>202</v>
      </c>
      <c r="C6" s="5" t="s">
        <v>203</v>
      </c>
      <c r="D6" s="5" t="s">
        <v>317</v>
      </c>
      <c r="E6" s="5" t="s">
        <v>322</v>
      </c>
      <c r="F6" s="5" t="s">
        <v>323</v>
      </c>
      <c r="G6" s="5" t="s">
        <v>186</v>
      </c>
      <c r="H6" s="5" t="s">
        <v>324</v>
      </c>
      <c r="I6" s="4"/>
      <c r="J6" s="4"/>
      <c r="K6" s="19" t="n">
        <f aca="false">COUNTIF(Tasks!$B$5:$B$300,A6)</f>
        <v>7</v>
      </c>
      <c r="L6" s="19" t="n">
        <f aca="false">COUNTIFS(Tasks!$B$5:$B$300,A6,Tasks!$M$5:$M$300,"مكتمل")</f>
        <v>0</v>
      </c>
      <c r="M6" s="19" t="n">
        <f aca="false">COUNTIFS(Tasks!$B$5:$B$300,A6,Tasks!$M$5:$M$300,"قيد التنفيذ")+COUNTIFS(Tasks!$B$5:$B$300,A6,Tasks!$M$5:$M$300,"قيد المراجعة")</f>
        <v>6</v>
      </c>
      <c r="N6" s="19" t="n">
        <f aca="false">COUNTIFS(Tasks!$B$5:$B$300,A6,Tasks!$M$5:$M$300,"متوقف")</f>
        <v>0</v>
      </c>
      <c r="O6" s="24" t="n">
        <f aca="false">IF(K6=0,0,L6/K6)</f>
        <v>0</v>
      </c>
      <c r="P6" s="25" t="str">
        <f aca="false">IF(K6=0,"—",IF(L6=K6,"مكتمل",IF(N6&gt;0,"متوقف",IF(L6+M6&gt;0,"قيد التنفيذ","لم يبدأ"))))</f>
        <v>قيد التنفيذ</v>
      </c>
      <c r="Q6" s="4" t="s">
        <v>177</v>
      </c>
      <c r="R6" s="4"/>
      <c r="S6" s="4"/>
    </row>
    <row r="7" customFormat="false" ht="23.25" hidden="false" customHeight="true" outlineLevel="0" collapsed="false">
      <c r="A7" s="17" t="s">
        <v>206</v>
      </c>
      <c r="B7" s="5" t="s">
        <v>207</v>
      </c>
      <c r="C7" s="5" t="s">
        <v>208</v>
      </c>
      <c r="D7" s="5" t="s">
        <v>325</v>
      </c>
      <c r="E7" s="5" t="s">
        <v>326</v>
      </c>
      <c r="F7" s="5" t="s">
        <v>195</v>
      </c>
      <c r="G7" s="5" t="s">
        <v>186</v>
      </c>
      <c r="H7" s="5" t="s">
        <v>327</v>
      </c>
      <c r="I7" s="4"/>
      <c r="J7" s="4"/>
      <c r="K7" s="19" t="n">
        <f aca="false">COUNTIF(Tasks!$B$5:$B$300,A7)</f>
        <v>8</v>
      </c>
      <c r="L7" s="19" t="n">
        <f aca="false">COUNTIFS(Tasks!$B$5:$B$300,A7,Tasks!$M$5:$M$300,"مكتمل")</f>
        <v>0</v>
      </c>
      <c r="M7" s="19" t="n">
        <f aca="false">COUNTIFS(Tasks!$B$5:$B$300,A7,Tasks!$M$5:$M$300,"قيد التنفيذ")+COUNTIFS(Tasks!$B$5:$B$300,A7,Tasks!$M$5:$M$300,"قيد المراجعة")</f>
        <v>7</v>
      </c>
      <c r="N7" s="19" t="n">
        <f aca="false">COUNTIFS(Tasks!$B$5:$B$300,A7,Tasks!$M$5:$M$300,"متوقف")</f>
        <v>0</v>
      </c>
      <c r="O7" s="24" t="n">
        <f aca="false">IF(K7=0,0,L7/K7)</f>
        <v>0</v>
      </c>
      <c r="P7" s="25" t="str">
        <f aca="false">IF(K7=0,"—",IF(L7=K7,"مكتمل",IF(N7&gt;0,"متوقف",IF(L7+M7&gt;0,"قيد التنفيذ","لم يبدأ"))))</f>
        <v>قيد التنفيذ</v>
      </c>
      <c r="Q7" s="4" t="s">
        <v>177</v>
      </c>
      <c r="R7" s="4"/>
      <c r="S7" s="4"/>
    </row>
    <row r="8" customFormat="false" ht="23.25" hidden="false" customHeight="true" outlineLevel="0" collapsed="false">
      <c r="A8" s="17" t="s">
        <v>212</v>
      </c>
      <c r="B8" s="5" t="s">
        <v>213</v>
      </c>
      <c r="C8" s="5" t="s">
        <v>208</v>
      </c>
      <c r="D8" s="5" t="s">
        <v>328</v>
      </c>
      <c r="E8" s="5" t="s">
        <v>329</v>
      </c>
      <c r="F8" s="5" t="s">
        <v>195</v>
      </c>
      <c r="G8" s="5" t="s">
        <v>186</v>
      </c>
      <c r="H8" s="5" t="s">
        <v>330</v>
      </c>
      <c r="I8" s="4"/>
      <c r="J8" s="4"/>
      <c r="K8" s="19" t="n">
        <f aca="false">COUNTIF(Tasks!$B$5:$B$300,A8)</f>
        <v>6</v>
      </c>
      <c r="L8" s="19" t="n">
        <f aca="false">COUNTIFS(Tasks!$B$5:$B$300,A8,Tasks!$M$5:$M$300,"مكتمل")</f>
        <v>0</v>
      </c>
      <c r="M8" s="19" t="n">
        <f aca="false">COUNTIFS(Tasks!$B$5:$B$300,A8,Tasks!$M$5:$M$300,"قيد التنفيذ")+COUNTIFS(Tasks!$B$5:$B$300,A8,Tasks!$M$5:$M$300,"قيد المراجعة")</f>
        <v>5</v>
      </c>
      <c r="N8" s="19" t="n">
        <f aca="false">COUNTIFS(Tasks!$B$5:$B$300,A8,Tasks!$M$5:$M$300,"متوقف")</f>
        <v>0</v>
      </c>
      <c r="O8" s="24" t="n">
        <f aca="false">IF(K8=0,0,L8/K8)</f>
        <v>0</v>
      </c>
      <c r="P8" s="25" t="str">
        <f aca="false">IF(K8=0,"—",IF(L8=K8,"مكتمل",IF(N8&gt;0,"متوقف",IF(L8+M8&gt;0,"قيد التنفيذ","لم يبدأ"))))</f>
        <v>قيد التنفيذ</v>
      </c>
      <c r="Q8" s="4" t="s">
        <v>177</v>
      </c>
      <c r="R8" s="4"/>
      <c r="S8" s="4"/>
    </row>
    <row r="9" customFormat="false" ht="15" hidden="false" customHeight="true" outlineLevel="0" collapsed="false">
      <c r="A9" s="17" t="s">
        <v>214</v>
      </c>
      <c r="B9" s="5" t="s">
        <v>215</v>
      </c>
      <c r="C9" s="5" t="s">
        <v>208</v>
      </c>
      <c r="D9" s="5" t="s">
        <v>331</v>
      </c>
      <c r="E9" s="5" t="s">
        <v>332</v>
      </c>
      <c r="F9" s="5" t="s">
        <v>195</v>
      </c>
      <c r="G9" s="5" t="s">
        <v>185</v>
      </c>
      <c r="H9" s="5" t="s">
        <v>333</v>
      </c>
      <c r="I9" s="4"/>
      <c r="J9" s="4"/>
      <c r="K9" s="19" t="n">
        <f aca="false">COUNTIF(Tasks!$B$5:$B$300,A9)</f>
        <v>4</v>
      </c>
      <c r="L9" s="19" t="n">
        <f aca="false">COUNTIFS(Tasks!$B$5:$B$300,A9,Tasks!$M$5:$M$300,"مكتمل")</f>
        <v>0</v>
      </c>
      <c r="M9" s="19" t="n">
        <f aca="false">COUNTIFS(Tasks!$B$5:$B$300,A9,Tasks!$M$5:$M$300,"قيد التنفيذ")+COUNTIFS(Tasks!$B$5:$B$300,A9,Tasks!$M$5:$M$300,"قيد المراجعة")</f>
        <v>0</v>
      </c>
      <c r="N9" s="19" t="n">
        <f aca="false">COUNTIFS(Tasks!$B$5:$B$300,A9,Tasks!$M$5:$M$300,"متوقف")</f>
        <v>3</v>
      </c>
      <c r="O9" s="24" t="n">
        <f aca="false">IF(K9=0,0,L9/K9)</f>
        <v>0</v>
      </c>
      <c r="P9" s="25" t="str">
        <f aca="false">IF(K9=0,"—",IF(L9=K9,"مكتمل",IF(N9&gt;0,"متوقف",IF(L9+M9&gt;0,"قيد التنفيذ","لم يبدأ"))))</f>
        <v>متوقف</v>
      </c>
      <c r="Q9" s="4" t="s">
        <v>177</v>
      </c>
      <c r="R9" s="4"/>
      <c r="S9" s="4"/>
    </row>
    <row r="10" customFormat="false" ht="23.25" hidden="false" customHeight="true" outlineLevel="0" collapsed="false">
      <c r="A10" s="17" t="s">
        <v>216</v>
      </c>
      <c r="B10" s="5" t="s">
        <v>217</v>
      </c>
      <c r="C10" s="5" t="s">
        <v>208</v>
      </c>
      <c r="D10" s="5" t="s">
        <v>334</v>
      </c>
      <c r="E10" s="5" t="s">
        <v>335</v>
      </c>
      <c r="F10" s="5" t="s">
        <v>195</v>
      </c>
      <c r="G10" s="5" t="s">
        <v>187</v>
      </c>
      <c r="H10" s="5" t="s">
        <v>336</v>
      </c>
      <c r="I10" s="4"/>
      <c r="J10" s="4"/>
      <c r="K10" s="19" t="n">
        <f aca="false">COUNTIF(Tasks!$B$5:$B$300,A10)</f>
        <v>8</v>
      </c>
      <c r="L10" s="19" t="n">
        <f aca="false">COUNTIFS(Tasks!$B$5:$B$300,A10,Tasks!$M$5:$M$300,"مكتمل")</f>
        <v>0</v>
      </c>
      <c r="M10" s="19" t="n">
        <f aca="false">COUNTIFS(Tasks!$B$5:$B$300,A10,Tasks!$M$5:$M$300,"قيد التنفيذ")+COUNTIFS(Tasks!$B$5:$B$300,A10,Tasks!$M$5:$M$300,"قيد المراجعة")</f>
        <v>8</v>
      </c>
      <c r="N10" s="19" t="n">
        <f aca="false">COUNTIFS(Tasks!$B$5:$B$300,A10,Tasks!$M$5:$M$300,"متوقف")</f>
        <v>0</v>
      </c>
      <c r="O10" s="24" t="n">
        <f aca="false">IF(K10=0,0,L10/K10)</f>
        <v>0</v>
      </c>
      <c r="P10" s="25" t="str">
        <f aca="false">IF(K10=0,"—",IF(L10=K10,"مكتمل",IF(N10&gt;0,"متوقف",IF(L10+M10&gt;0,"قيد التنفيذ","لم يبدأ"))))</f>
        <v>قيد التنفيذ</v>
      </c>
      <c r="Q10" s="4" t="s">
        <v>177</v>
      </c>
      <c r="R10" s="4"/>
      <c r="S10" s="4"/>
    </row>
    <row r="11" customFormat="false" ht="23.25" hidden="false" customHeight="true" outlineLevel="0" collapsed="false">
      <c r="A11" s="17" t="s">
        <v>218</v>
      </c>
      <c r="B11" s="5" t="s">
        <v>219</v>
      </c>
      <c r="C11" s="5" t="s">
        <v>208</v>
      </c>
      <c r="D11" s="5" t="s">
        <v>337</v>
      </c>
      <c r="E11" s="5" t="s">
        <v>338</v>
      </c>
      <c r="F11" s="5" t="s">
        <v>195</v>
      </c>
      <c r="G11" s="5" t="s">
        <v>186</v>
      </c>
      <c r="H11" s="5" t="s">
        <v>339</v>
      </c>
      <c r="I11" s="4"/>
      <c r="J11" s="4"/>
      <c r="K11" s="19" t="n">
        <f aca="false">COUNTIF(Tasks!$B$5:$B$300,A11)</f>
        <v>6</v>
      </c>
      <c r="L11" s="19" t="n">
        <f aca="false">COUNTIFS(Tasks!$B$5:$B$300,A11,Tasks!$M$5:$M$300,"مكتمل")</f>
        <v>0</v>
      </c>
      <c r="M11" s="19" t="n">
        <f aca="false">COUNTIFS(Tasks!$B$5:$B$300,A11,Tasks!$M$5:$M$300,"قيد التنفيذ")+COUNTIFS(Tasks!$B$5:$B$300,A11,Tasks!$M$5:$M$300,"قيد المراجعة")</f>
        <v>6</v>
      </c>
      <c r="N11" s="19" t="n">
        <f aca="false">COUNTIFS(Tasks!$B$5:$B$300,A11,Tasks!$M$5:$M$300,"متوقف")</f>
        <v>0</v>
      </c>
      <c r="O11" s="24" t="n">
        <f aca="false">IF(K11=0,0,L11/K11)</f>
        <v>0</v>
      </c>
      <c r="P11" s="25" t="str">
        <f aca="false">IF(K11=0,"—",IF(L11=K11,"مكتمل",IF(N11&gt;0,"متوقف",IF(L11+M11&gt;0,"قيد التنفيذ","لم يبدأ"))))</f>
        <v>قيد التنفيذ</v>
      </c>
      <c r="Q11" s="4" t="s">
        <v>177</v>
      </c>
      <c r="R11" s="4"/>
      <c r="S11" s="4"/>
    </row>
    <row r="12" customFormat="false" ht="23.25" hidden="false" customHeight="true" outlineLevel="0" collapsed="false">
      <c r="A12" s="17" t="s">
        <v>220</v>
      </c>
      <c r="B12" s="5" t="s">
        <v>221</v>
      </c>
      <c r="C12" s="5" t="s">
        <v>208</v>
      </c>
      <c r="D12" s="5" t="s">
        <v>340</v>
      </c>
      <c r="E12" s="5" t="s">
        <v>341</v>
      </c>
      <c r="F12" s="5" t="s">
        <v>195</v>
      </c>
      <c r="G12" s="5" t="s">
        <v>187</v>
      </c>
      <c r="H12" s="5" t="s">
        <v>342</v>
      </c>
      <c r="I12" s="4"/>
      <c r="J12" s="4"/>
      <c r="K12" s="19" t="n">
        <f aca="false">COUNTIF(Tasks!$B$5:$B$300,A12)</f>
        <v>8</v>
      </c>
      <c r="L12" s="19" t="n">
        <f aca="false">COUNTIFS(Tasks!$B$5:$B$300,A12,Tasks!$M$5:$M$300,"مكتمل")</f>
        <v>0</v>
      </c>
      <c r="M12" s="19" t="n">
        <f aca="false">COUNTIFS(Tasks!$B$5:$B$300,A12,Tasks!$M$5:$M$300,"قيد التنفيذ")+COUNTIFS(Tasks!$B$5:$B$300,A12,Tasks!$M$5:$M$300,"قيد المراجعة")</f>
        <v>7</v>
      </c>
      <c r="N12" s="19" t="n">
        <f aca="false">COUNTIFS(Tasks!$B$5:$B$300,A12,Tasks!$M$5:$M$300,"متوقف")</f>
        <v>0</v>
      </c>
      <c r="O12" s="24" t="n">
        <f aca="false">IF(K12=0,0,L12/K12)</f>
        <v>0</v>
      </c>
      <c r="P12" s="25" t="str">
        <f aca="false">IF(K12=0,"—",IF(L12=K12,"مكتمل",IF(N12&gt;0,"متوقف",IF(L12+M12&gt;0,"قيد التنفيذ","لم يبدأ"))))</f>
        <v>قيد التنفيذ</v>
      </c>
      <c r="Q12" s="4" t="s">
        <v>177</v>
      </c>
      <c r="R12" s="4"/>
      <c r="S12" s="4"/>
    </row>
    <row r="13" customFormat="false" ht="23.25" hidden="false" customHeight="true" outlineLevel="0" collapsed="false">
      <c r="A13" s="17" t="s">
        <v>222</v>
      </c>
      <c r="B13" s="5" t="s">
        <v>223</v>
      </c>
      <c r="C13" s="5" t="s">
        <v>208</v>
      </c>
      <c r="D13" s="5" t="s">
        <v>343</v>
      </c>
      <c r="E13" s="5" t="s">
        <v>344</v>
      </c>
      <c r="F13" s="5" t="s">
        <v>195</v>
      </c>
      <c r="G13" s="5" t="s">
        <v>186</v>
      </c>
      <c r="H13" s="5" t="s">
        <v>345</v>
      </c>
      <c r="I13" s="4"/>
      <c r="J13" s="4"/>
      <c r="K13" s="19" t="n">
        <f aca="false">COUNTIF(Tasks!$B$5:$B$300,A13)</f>
        <v>5</v>
      </c>
      <c r="L13" s="19" t="n">
        <f aca="false">COUNTIFS(Tasks!$B$5:$B$300,A13,Tasks!$M$5:$M$300,"مكتمل")</f>
        <v>0</v>
      </c>
      <c r="M13" s="19" t="n">
        <f aca="false">COUNTIFS(Tasks!$B$5:$B$300,A13,Tasks!$M$5:$M$300,"قيد التنفيذ")+COUNTIFS(Tasks!$B$5:$B$300,A13,Tasks!$M$5:$M$300,"قيد المراجعة")</f>
        <v>5</v>
      </c>
      <c r="N13" s="19" t="n">
        <f aca="false">COUNTIFS(Tasks!$B$5:$B$300,A13,Tasks!$M$5:$M$300,"متوقف")</f>
        <v>0</v>
      </c>
      <c r="O13" s="24" t="n">
        <f aca="false">IF(K13=0,0,L13/K13)</f>
        <v>0</v>
      </c>
      <c r="P13" s="25" t="str">
        <f aca="false">IF(K13=0,"—",IF(L13=K13,"مكتمل",IF(N13&gt;0,"متوقف",IF(L13+M13&gt;0,"قيد التنفيذ","لم يبدأ"))))</f>
        <v>قيد التنفيذ</v>
      </c>
      <c r="Q13" s="4" t="s">
        <v>177</v>
      </c>
      <c r="R13" s="4"/>
      <c r="S13" s="4"/>
    </row>
    <row r="14" customFormat="false" ht="15" hidden="false" customHeight="true" outlineLevel="0" collapsed="false">
      <c r="A14" s="17" t="s">
        <v>224</v>
      </c>
      <c r="B14" s="5" t="s">
        <v>225</v>
      </c>
      <c r="C14" s="5" t="s">
        <v>208</v>
      </c>
      <c r="D14" s="5" t="s">
        <v>346</v>
      </c>
      <c r="E14" s="5" t="s">
        <v>347</v>
      </c>
      <c r="F14" s="5" t="s">
        <v>195</v>
      </c>
      <c r="G14" s="5" t="s">
        <v>185</v>
      </c>
      <c r="H14" s="5" t="s">
        <v>348</v>
      </c>
      <c r="I14" s="4"/>
      <c r="J14" s="4"/>
      <c r="K14" s="19" t="n">
        <f aca="false">COUNTIF(Tasks!$B$5:$B$300,A14)</f>
        <v>4</v>
      </c>
      <c r="L14" s="19" t="n">
        <f aca="false">COUNTIFS(Tasks!$B$5:$B$300,A14,Tasks!$M$5:$M$300,"مكتمل")</f>
        <v>0</v>
      </c>
      <c r="M14" s="19" t="n">
        <f aca="false">COUNTIFS(Tasks!$B$5:$B$300,A14,Tasks!$M$5:$M$300,"قيد التنفيذ")+COUNTIFS(Tasks!$B$5:$B$300,A14,Tasks!$M$5:$M$300,"قيد المراجعة")</f>
        <v>4</v>
      </c>
      <c r="N14" s="19" t="n">
        <f aca="false">COUNTIFS(Tasks!$B$5:$B$300,A14,Tasks!$M$5:$M$300,"متوقف")</f>
        <v>0</v>
      </c>
      <c r="O14" s="24" t="n">
        <f aca="false">IF(K14=0,0,L14/K14)</f>
        <v>0</v>
      </c>
      <c r="P14" s="25" t="str">
        <f aca="false">IF(K14=0,"—",IF(L14=K14,"مكتمل",IF(N14&gt;0,"متوقف",IF(L14+M14&gt;0,"قيد التنفيذ","لم يبدأ"))))</f>
        <v>قيد التنفيذ</v>
      </c>
      <c r="Q14" s="4" t="s">
        <v>177</v>
      </c>
      <c r="R14" s="4"/>
      <c r="S14" s="4"/>
    </row>
    <row r="15" customFormat="false" ht="15" hidden="false" customHeight="true" outlineLevel="0" collapsed="false">
      <c r="A15" s="17" t="s">
        <v>226</v>
      </c>
      <c r="B15" s="5" t="s">
        <v>227</v>
      </c>
      <c r="C15" s="5" t="s">
        <v>208</v>
      </c>
      <c r="D15" s="5" t="s">
        <v>349</v>
      </c>
      <c r="E15" s="5" t="s">
        <v>350</v>
      </c>
      <c r="F15" s="5" t="s">
        <v>195</v>
      </c>
      <c r="G15" s="5" t="s">
        <v>185</v>
      </c>
      <c r="H15" s="5" t="s">
        <v>351</v>
      </c>
      <c r="I15" s="4"/>
      <c r="J15" s="4"/>
      <c r="K15" s="19" t="n">
        <f aca="false">COUNTIF(Tasks!$B$5:$B$300,A15)</f>
        <v>4</v>
      </c>
      <c r="L15" s="19" t="n">
        <f aca="false">COUNTIFS(Tasks!$B$5:$B$300,A15,Tasks!$M$5:$M$300,"مكتمل")</f>
        <v>0</v>
      </c>
      <c r="M15" s="19" t="n">
        <f aca="false">COUNTIFS(Tasks!$B$5:$B$300,A15,Tasks!$M$5:$M$300,"قيد التنفيذ")+COUNTIFS(Tasks!$B$5:$B$300,A15,Tasks!$M$5:$M$300,"قيد المراجعة")</f>
        <v>3</v>
      </c>
      <c r="N15" s="19" t="n">
        <f aca="false">COUNTIFS(Tasks!$B$5:$B$300,A15,Tasks!$M$5:$M$300,"متوقف")</f>
        <v>0</v>
      </c>
      <c r="O15" s="24" t="n">
        <f aca="false">IF(K15=0,0,L15/K15)</f>
        <v>0</v>
      </c>
      <c r="P15" s="25" t="str">
        <f aca="false">IF(K15=0,"—",IF(L15=K15,"مكتمل",IF(N15&gt;0,"متوقف",IF(L15+M15&gt;0,"قيد التنفيذ","لم يبدأ"))))</f>
        <v>قيد التنفيذ</v>
      </c>
      <c r="Q15" s="4" t="s">
        <v>177</v>
      </c>
      <c r="R15" s="4"/>
      <c r="S15" s="4"/>
    </row>
    <row r="16" customFormat="false" ht="23.25" hidden="false" customHeight="true" outlineLevel="0" collapsed="false">
      <c r="A16" s="17" t="s">
        <v>228</v>
      </c>
      <c r="B16" s="5" t="s">
        <v>229</v>
      </c>
      <c r="C16" s="5" t="s">
        <v>208</v>
      </c>
      <c r="D16" s="5" t="s">
        <v>352</v>
      </c>
      <c r="E16" s="5" t="s">
        <v>353</v>
      </c>
      <c r="F16" s="5" t="s">
        <v>195</v>
      </c>
      <c r="G16" s="5" t="s">
        <v>186</v>
      </c>
      <c r="H16" s="5" t="s">
        <v>354</v>
      </c>
      <c r="I16" s="4"/>
      <c r="J16" s="4"/>
      <c r="K16" s="19" t="n">
        <f aca="false">COUNTIF(Tasks!$B$5:$B$300,A16)</f>
        <v>6</v>
      </c>
      <c r="L16" s="19" t="n">
        <f aca="false">COUNTIFS(Tasks!$B$5:$B$300,A16,Tasks!$M$5:$M$300,"مكتمل")</f>
        <v>0</v>
      </c>
      <c r="M16" s="19" t="n">
        <f aca="false">COUNTIFS(Tasks!$B$5:$B$300,A16,Tasks!$M$5:$M$300,"قيد التنفيذ")+COUNTIFS(Tasks!$B$5:$B$300,A16,Tasks!$M$5:$M$300,"قيد المراجعة")</f>
        <v>6</v>
      </c>
      <c r="N16" s="19" t="n">
        <f aca="false">COUNTIFS(Tasks!$B$5:$B$300,A16,Tasks!$M$5:$M$300,"متوقف")</f>
        <v>0</v>
      </c>
      <c r="O16" s="24" t="n">
        <f aca="false">IF(K16=0,0,L16/K16)</f>
        <v>0</v>
      </c>
      <c r="P16" s="25" t="str">
        <f aca="false">IF(K16=0,"—",IF(L16=K16,"مكتمل",IF(N16&gt;0,"متوقف",IF(L16+M16&gt;0,"قيد التنفيذ","لم يبدأ"))))</f>
        <v>قيد التنفيذ</v>
      </c>
      <c r="Q16" s="4" t="s">
        <v>177</v>
      </c>
      <c r="R16" s="4"/>
      <c r="S16" s="4"/>
    </row>
    <row r="17" customFormat="false" ht="15" hidden="false" customHeight="true" outlineLevel="0" collapsed="false">
      <c r="A17" s="17" t="s">
        <v>230</v>
      </c>
      <c r="B17" s="5" t="s">
        <v>231</v>
      </c>
      <c r="C17" s="5" t="s">
        <v>208</v>
      </c>
      <c r="D17" s="5" t="s">
        <v>355</v>
      </c>
      <c r="E17" s="5" t="s">
        <v>356</v>
      </c>
      <c r="F17" s="5" t="s">
        <v>195</v>
      </c>
      <c r="G17" s="5" t="s">
        <v>186</v>
      </c>
      <c r="H17" s="5" t="s">
        <v>357</v>
      </c>
      <c r="I17" s="4"/>
      <c r="J17" s="4"/>
      <c r="K17" s="19" t="n">
        <f aca="false">COUNTIF(Tasks!$B$5:$B$300,A17)</f>
        <v>4</v>
      </c>
      <c r="L17" s="19" t="n">
        <f aca="false">COUNTIFS(Tasks!$B$5:$B$300,A17,Tasks!$M$5:$M$300,"مكتمل")</f>
        <v>0</v>
      </c>
      <c r="M17" s="19" t="n">
        <f aca="false">COUNTIFS(Tasks!$B$5:$B$300,A17,Tasks!$M$5:$M$300,"قيد التنفيذ")+COUNTIFS(Tasks!$B$5:$B$300,A17,Tasks!$M$5:$M$300,"قيد المراجعة")</f>
        <v>4</v>
      </c>
      <c r="N17" s="19" t="n">
        <f aca="false">COUNTIFS(Tasks!$B$5:$B$300,A17,Tasks!$M$5:$M$300,"متوقف")</f>
        <v>0</v>
      </c>
      <c r="O17" s="24" t="n">
        <f aca="false">IF(K17=0,0,L17/K17)</f>
        <v>0</v>
      </c>
      <c r="P17" s="25" t="str">
        <f aca="false">IF(K17=0,"—",IF(L17=K17,"مكتمل",IF(N17&gt;0,"متوقف",IF(L17+M17&gt;0,"قيد التنفيذ","لم يبدأ"))))</f>
        <v>قيد التنفيذ</v>
      </c>
      <c r="Q17" s="4" t="s">
        <v>177</v>
      </c>
      <c r="R17" s="4"/>
      <c r="S17" s="4"/>
    </row>
    <row r="18" customFormat="false" ht="15" hidden="false" customHeight="true" outlineLevel="0" collapsed="false">
      <c r="A18" s="17" t="s">
        <v>232</v>
      </c>
      <c r="B18" s="5" t="s">
        <v>233</v>
      </c>
      <c r="C18" s="5" t="s">
        <v>208</v>
      </c>
      <c r="D18" s="5" t="s">
        <v>358</v>
      </c>
      <c r="E18" s="5" t="s">
        <v>359</v>
      </c>
      <c r="F18" s="5" t="s">
        <v>195</v>
      </c>
      <c r="G18" s="5" t="s">
        <v>185</v>
      </c>
      <c r="H18" s="5" t="s">
        <v>360</v>
      </c>
      <c r="I18" s="4"/>
      <c r="J18" s="4"/>
      <c r="K18" s="19" t="n">
        <f aca="false">COUNTIF(Tasks!$B$5:$B$300,A18)</f>
        <v>5</v>
      </c>
      <c r="L18" s="19" t="n">
        <f aca="false">COUNTIFS(Tasks!$B$5:$B$300,A18,Tasks!$M$5:$M$300,"مكتمل")</f>
        <v>0</v>
      </c>
      <c r="M18" s="19" t="n">
        <f aca="false">COUNTIFS(Tasks!$B$5:$B$300,A18,Tasks!$M$5:$M$300,"قيد التنفيذ")+COUNTIFS(Tasks!$B$5:$B$300,A18,Tasks!$M$5:$M$300,"قيد المراجعة")</f>
        <v>5</v>
      </c>
      <c r="N18" s="19" t="n">
        <f aca="false">COUNTIFS(Tasks!$B$5:$B$300,A18,Tasks!$M$5:$M$300,"متوقف")</f>
        <v>0</v>
      </c>
      <c r="O18" s="24" t="n">
        <f aca="false">IF(K18=0,0,L18/K18)</f>
        <v>0</v>
      </c>
      <c r="P18" s="25" t="str">
        <f aca="false">IF(K18=0,"—",IF(L18=K18,"مكتمل",IF(N18&gt;0,"متوقف",IF(L18+M18&gt;0,"قيد التنفيذ","لم يبدأ"))))</f>
        <v>قيد التنفيذ</v>
      </c>
      <c r="Q18" s="4" t="s">
        <v>177</v>
      </c>
      <c r="R18" s="4"/>
      <c r="S18" s="4"/>
    </row>
    <row r="19" customFormat="false" ht="15" hidden="false" customHeight="true" outlineLevel="0" collapsed="false">
      <c r="A19" s="17" t="s">
        <v>234</v>
      </c>
      <c r="B19" s="5" t="s">
        <v>235</v>
      </c>
      <c r="C19" s="5" t="s">
        <v>208</v>
      </c>
      <c r="D19" s="5" t="s">
        <v>361</v>
      </c>
      <c r="E19" s="5" t="s">
        <v>362</v>
      </c>
      <c r="F19" s="5" t="s">
        <v>195</v>
      </c>
      <c r="G19" s="5" t="s">
        <v>185</v>
      </c>
      <c r="H19" s="5" t="s">
        <v>363</v>
      </c>
      <c r="I19" s="4"/>
      <c r="J19" s="4"/>
      <c r="K19" s="19" t="n">
        <f aca="false">COUNTIF(Tasks!$B$5:$B$300,A19)</f>
        <v>4</v>
      </c>
      <c r="L19" s="19" t="n">
        <f aca="false">COUNTIFS(Tasks!$B$5:$B$300,A19,Tasks!$M$5:$M$300,"مكتمل")</f>
        <v>0</v>
      </c>
      <c r="M19" s="19" t="n">
        <f aca="false">COUNTIFS(Tasks!$B$5:$B$300,A19,Tasks!$M$5:$M$300,"قيد التنفيذ")+COUNTIFS(Tasks!$B$5:$B$300,A19,Tasks!$M$5:$M$300,"قيد المراجعة")</f>
        <v>4</v>
      </c>
      <c r="N19" s="19" t="n">
        <f aca="false">COUNTIFS(Tasks!$B$5:$B$300,A19,Tasks!$M$5:$M$300,"متوقف")</f>
        <v>0</v>
      </c>
      <c r="O19" s="24" t="n">
        <f aca="false">IF(K19=0,0,L19/K19)</f>
        <v>0</v>
      </c>
      <c r="P19" s="25" t="str">
        <f aca="false">IF(K19=0,"—",IF(L19=K19,"مكتمل",IF(N19&gt;0,"متوقف",IF(L19+M19&gt;0,"قيد التنفيذ","لم يبدأ"))))</f>
        <v>قيد التنفيذ</v>
      </c>
      <c r="Q19" s="4" t="s">
        <v>177</v>
      </c>
      <c r="R19" s="4"/>
      <c r="S19" s="4"/>
    </row>
    <row r="20" customFormat="false" ht="15" hidden="false" customHeight="true" outlineLevel="0" collapsed="false">
      <c r="A20" s="17" t="s">
        <v>236</v>
      </c>
      <c r="B20" s="5" t="s">
        <v>237</v>
      </c>
      <c r="C20" s="5" t="s">
        <v>208</v>
      </c>
      <c r="D20" s="5" t="s">
        <v>364</v>
      </c>
      <c r="E20" s="5" t="s">
        <v>365</v>
      </c>
      <c r="F20" s="5" t="s">
        <v>195</v>
      </c>
      <c r="G20" s="5" t="s">
        <v>185</v>
      </c>
      <c r="H20" s="5" t="s">
        <v>366</v>
      </c>
      <c r="I20" s="4"/>
      <c r="J20" s="4"/>
      <c r="K20" s="19" t="n">
        <f aca="false">COUNTIF(Tasks!$B$5:$B$300,A20)</f>
        <v>5</v>
      </c>
      <c r="L20" s="19" t="n">
        <f aca="false">COUNTIFS(Tasks!$B$5:$B$300,A20,Tasks!$M$5:$M$300,"مكتمل")</f>
        <v>0</v>
      </c>
      <c r="M20" s="19" t="n">
        <f aca="false">COUNTIFS(Tasks!$B$5:$B$300,A20,Tasks!$M$5:$M$300,"قيد التنفيذ")+COUNTIFS(Tasks!$B$5:$B$300,A20,Tasks!$M$5:$M$300,"قيد المراجعة")</f>
        <v>5</v>
      </c>
      <c r="N20" s="19" t="n">
        <f aca="false">COUNTIFS(Tasks!$B$5:$B$300,A20,Tasks!$M$5:$M$300,"متوقف")</f>
        <v>0</v>
      </c>
      <c r="O20" s="24" t="n">
        <f aca="false">IF(K20=0,0,L20/K20)</f>
        <v>0</v>
      </c>
      <c r="P20" s="25" t="str">
        <f aca="false">IF(K20=0,"—",IF(L20=K20,"مكتمل",IF(N20&gt;0,"متوقف",IF(L20+M20&gt;0,"قيد التنفيذ","لم يبدأ"))))</f>
        <v>قيد التنفيذ</v>
      </c>
      <c r="Q20" s="4" t="s">
        <v>177</v>
      </c>
      <c r="R20" s="4"/>
      <c r="S20" s="4"/>
    </row>
    <row r="21" customFormat="false" ht="23.25" hidden="false" customHeight="true" outlineLevel="0" collapsed="false">
      <c r="A21" s="17" t="s">
        <v>238</v>
      </c>
      <c r="B21" s="5" t="s">
        <v>239</v>
      </c>
      <c r="C21" s="5" t="s">
        <v>208</v>
      </c>
      <c r="D21" s="5" t="s">
        <v>367</v>
      </c>
      <c r="E21" s="5" t="s">
        <v>368</v>
      </c>
      <c r="F21" s="5" t="s">
        <v>195</v>
      </c>
      <c r="G21" s="5" t="s">
        <v>185</v>
      </c>
      <c r="H21" s="5" t="s">
        <v>369</v>
      </c>
      <c r="I21" s="4"/>
      <c r="J21" s="4"/>
      <c r="K21" s="19" t="n">
        <f aca="false">COUNTIF(Tasks!$B$5:$B$300,A21)</f>
        <v>7</v>
      </c>
      <c r="L21" s="19" t="n">
        <f aca="false">COUNTIFS(Tasks!$B$5:$B$300,A21,Tasks!$M$5:$M$300,"مكتمل")</f>
        <v>0</v>
      </c>
      <c r="M21" s="19" t="n">
        <f aca="false">COUNTIFS(Tasks!$B$5:$B$300,A21,Tasks!$M$5:$M$300,"قيد التنفيذ")+COUNTIFS(Tasks!$B$5:$B$300,A21,Tasks!$M$5:$M$300,"قيد المراجعة")</f>
        <v>7</v>
      </c>
      <c r="N21" s="19" t="n">
        <f aca="false">COUNTIFS(Tasks!$B$5:$B$300,A21,Tasks!$M$5:$M$300,"متوقف")</f>
        <v>0</v>
      </c>
      <c r="O21" s="24" t="n">
        <f aca="false">IF(K21=0,0,L21/K21)</f>
        <v>0</v>
      </c>
      <c r="P21" s="25" t="str">
        <f aca="false">IF(K21=0,"—",IF(L21=K21,"مكتمل",IF(N21&gt;0,"متوقف",IF(L21+M21&gt;0,"قيد التنفيذ","لم يبدأ"))))</f>
        <v>قيد التنفيذ</v>
      </c>
      <c r="Q21" s="4" t="s">
        <v>177</v>
      </c>
      <c r="R21" s="4"/>
      <c r="S21" s="4"/>
    </row>
    <row r="22" customFormat="false" ht="23.25" hidden="false" customHeight="true" outlineLevel="0" collapsed="false">
      <c r="A22" s="17" t="s">
        <v>243</v>
      </c>
      <c r="B22" s="5" t="s">
        <v>244</v>
      </c>
      <c r="C22" s="5" t="s">
        <v>208</v>
      </c>
      <c r="D22" s="5" t="s">
        <v>370</v>
      </c>
      <c r="E22" s="5" t="s">
        <v>371</v>
      </c>
      <c r="F22" s="5" t="s">
        <v>195</v>
      </c>
      <c r="G22" s="5" t="s">
        <v>186</v>
      </c>
      <c r="H22" s="5" t="s">
        <v>372</v>
      </c>
      <c r="I22" s="4"/>
      <c r="J22" s="4"/>
      <c r="K22" s="19" t="n">
        <f aca="false">COUNTIF(Tasks!$B$5:$B$300,A22)</f>
        <v>5</v>
      </c>
      <c r="L22" s="19" t="n">
        <f aca="false">COUNTIFS(Tasks!$B$5:$B$300,A22,Tasks!$M$5:$M$300,"مكتمل")</f>
        <v>0</v>
      </c>
      <c r="M22" s="19" t="n">
        <f aca="false">COUNTIFS(Tasks!$B$5:$B$300,A22,Tasks!$M$5:$M$300,"قيد التنفيذ")+COUNTIFS(Tasks!$B$5:$B$300,A22,Tasks!$M$5:$M$300,"قيد المراجعة")</f>
        <v>5</v>
      </c>
      <c r="N22" s="19" t="n">
        <f aca="false">COUNTIFS(Tasks!$B$5:$B$300,A22,Tasks!$M$5:$M$300,"متوقف")</f>
        <v>0</v>
      </c>
      <c r="O22" s="24" t="n">
        <f aca="false">IF(K22=0,0,L22/K22)</f>
        <v>0</v>
      </c>
      <c r="P22" s="25" t="str">
        <f aca="false">IF(K22=0,"—",IF(L22=K22,"مكتمل",IF(N22&gt;0,"متوقف",IF(L22+M22&gt;0,"قيد التنفيذ","لم يبدأ"))))</f>
        <v>قيد التنفيذ</v>
      </c>
      <c r="Q22" s="4" t="s">
        <v>177</v>
      </c>
      <c r="R22" s="4"/>
      <c r="S22" s="4"/>
    </row>
    <row r="23" customFormat="false" ht="15" hidden="false" customHeight="true" outlineLevel="0" collapsed="false">
      <c r="A23" s="17" t="s">
        <v>245</v>
      </c>
      <c r="B23" s="5" t="s">
        <v>246</v>
      </c>
      <c r="C23" s="5" t="s">
        <v>208</v>
      </c>
      <c r="D23" s="5" t="s">
        <v>373</v>
      </c>
      <c r="E23" s="5" t="s">
        <v>374</v>
      </c>
      <c r="F23" s="5" t="s">
        <v>195</v>
      </c>
      <c r="G23" s="5" t="s">
        <v>185</v>
      </c>
      <c r="H23" s="5" t="s">
        <v>375</v>
      </c>
      <c r="I23" s="4"/>
      <c r="J23" s="4"/>
      <c r="K23" s="19" t="n">
        <f aca="false">COUNTIF(Tasks!$B$5:$B$300,A23)</f>
        <v>4</v>
      </c>
      <c r="L23" s="19" t="n">
        <f aca="false">COUNTIFS(Tasks!$B$5:$B$300,A23,Tasks!$M$5:$M$300,"مكتمل")</f>
        <v>0</v>
      </c>
      <c r="M23" s="19" t="n">
        <f aca="false">COUNTIFS(Tasks!$B$5:$B$300,A23,Tasks!$M$5:$M$300,"قيد التنفيذ")+COUNTIFS(Tasks!$B$5:$B$300,A23,Tasks!$M$5:$M$300,"قيد المراجعة")</f>
        <v>4</v>
      </c>
      <c r="N23" s="19" t="n">
        <f aca="false">COUNTIFS(Tasks!$B$5:$B$300,A23,Tasks!$M$5:$M$300,"متوقف")</f>
        <v>0</v>
      </c>
      <c r="O23" s="24" t="n">
        <f aca="false">IF(K23=0,0,L23/K23)</f>
        <v>0</v>
      </c>
      <c r="P23" s="25" t="str">
        <f aca="false">IF(K23=0,"—",IF(L23=K23,"مكتمل",IF(N23&gt;0,"متوقف",IF(L23+M23&gt;0,"قيد التنفيذ","لم يبدأ"))))</f>
        <v>قيد التنفيذ</v>
      </c>
      <c r="Q23" s="4" t="s">
        <v>177</v>
      </c>
      <c r="R23" s="4"/>
      <c r="S23" s="4"/>
    </row>
    <row r="24" customFormat="false" ht="23.25" hidden="false" customHeight="true" outlineLevel="0" collapsed="false">
      <c r="A24" s="17" t="s">
        <v>250</v>
      </c>
      <c r="B24" s="5" t="s">
        <v>251</v>
      </c>
      <c r="C24" s="5" t="s">
        <v>252</v>
      </c>
      <c r="D24" s="5" t="s">
        <v>376</v>
      </c>
      <c r="E24" s="5" t="s">
        <v>377</v>
      </c>
      <c r="F24" s="5" t="s">
        <v>378</v>
      </c>
      <c r="G24" s="5" t="s">
        <v>187</v>
      </c>
      <c r="H24" s="5" t="s">
        <v>379</v>
      </c>
      <c r="I24" s="4"/>
      <c r="J24" s="4"/>
      <c r="K24" s="19" t="n">
        <f aca="false">COUNTIF(Tasks!$B$5:$B$300,A24)</f>
        <v>9</v>
      </c>
      <c r="L24" s="19" t="n">
        <f aca="false">COUNTIFS(Tasks!$B$5:$B$300,A24,Tasks!$M$5:$M$300,"مكتمل")</f>
        <v>0</v>
      </c>
      <c r="M24" s="19" t="n">
        <f aca="false">COUNTIFS(Tasks!$B$5:$B$300,A24,Tasks!$M$5:$M$300,"قيد التنفيذ")+COUNTIFS(Tasks!$B$5:$B$300,A24,Tasks!$M$5:$M$300,"قيد المراجعة")</f>
        <v>0</v>
      </c>
      <c r="N24" s="19" t="n">
        <f aca="false">COUNTIFS(Tasks!$B$5:$B$300,A24,Tasks!$M$5:$M$300,"متوقف")</f>
        <v>0</v>
      </c>
      <c r="O24" s="24" t="n">
        <f aca="false">IF(K24=0,0,L24/K24)</f>
        <v>0</v>
      </c>
      <c r="P24" s="25" t="str">
        <f aca="false">IF(K24=0,"—",IF(L24=K24,"مكتمل",IF(N24&gt;0,"متوقف",IF(L24+M24&gt;0,"قيد التنفيذ","لم يبدأ"))))</f>
        <v>لم يبدأ</v>
      </c>
      <c r="Q24" s="4" t="s">
        <v>177</v>
      </c>
      <c r="R24" s="4"/>
      <c r="S24" s="4"/>
    </row>
  </sheetData>
  <autoFilter ref="A4:S24"/>
  <conditionalFormatting sqref="P5:P24">
    <cfRule type="cellIs" priority="2" operator="equal" aboveAverage="0" equalAverage="0" bottom="0" percent="0" rank="0" text="" dxfId="1">
      <formula>"مكتمل"</formula>
    </cfRule>
    <cfRule type="cellIs" priority="3" operator="equal" aboveAverage="0" equalAverage="0" bottom="0" percent="0" rank="0" text="" dxfId="2">
      <formula>"قيد التنفيذ"</formula>
    </cfRule>
    <cfRule type="cellIs" priority="4" operator="equal" aboveAverage="0" equalAverage="0" bottom="0" percent="0" rank="0" text="" dxfId="3">
      <formula>"قيد المراجعة"</formula>
    </cfRule>
    <cfRule type="cellIs" priority="5" operator="equal" aboveAverage="0" equalAverage="0" bottom="0" percent="0" rank="0" text="" dxfId="0">
      <formula>"متوقف"</formula>
    </cfRule>
    <cfRule type="cellIs" priority="6" operator="equal" aboveAverage="0" equalAverage="0" bottom="0" percent="0" rank="0" text="" dxfId="4">
      <formula>"مؤجل"</formula>
    </cfRule>
  </conditionalFormatting>
  <conditionalFormatting sqref="O5:O24">
    <cfRule type="dataBar" priority="7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{38F4F338-9D13-4FA6-BCB6-5883E65774F0}</x14:id>
        </ext>
      </extLst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Q5:Q24" type="list">
      <formula1>Lists!$K$2:$K$3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F4F338-9D13-4FA6-BCB6-5883E65774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O5:O24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1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9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34"/>
    <col collapsed="false" customWidth="true" hidden="false" outlineLevel="0" max="7" min="7" style="1" width="60"/>
    <col collapsed="false" customWidth="true" hidden="false" outlineLevel="0" max="8" min="8" style="1" width="44"/>
    <col collapsed="false" customWidth="true" hidden="false" outlineLevel="0" max="9" min="9" style="1" width="30"/>
    <col collapsed="false" customWidth="true" hidden="false" outlineLevel="0" max="10" min="10" style="1" width="14"/>
    <col collapsed="false" customWidth="true" hidden="false" outlineLevel="0" max="11" min="11" style="1" width="9"/>
    <col collapsed="false" customWidth="true" hidden="false" outlineLevel="0" max="12" min="12" style="1" width="7"/>
    <col collapsed="false" customWidth="true" hidden="false" outlineLevel="0" max="14" min="13" style="1" width="13"/>
    <col collapsed="false" customWidth="true" hidden="false" outlineLevel="0" max="15" min="15" style="1" width="12"/>
    <col collapsed="false" customWidth="true" hidden="false" outlineLevel="0" max="16" min="16" style="1" width="26"/>
    <col collapsed="false" customWidth="true" hidden="false" outlineLevel="0" max="18" min="17" style="1" width="11"/>
    <col collapsed="false" customWidth="true" hidden="false" outlineLevel="0" max="19" min="19" style="1" width="14"/>
    <col collapsed="false" customWidth="true" hidden="false" outlineLevel="0" max="20" min="20" style="1" width="30"/>
    <col collapsed="false" customWidth="true" hidden="false" outlineLevel="0" max="21" min="21" style="1" width="12"/>
    <col collapsed="false" customWidth="true" hidden="false" outlineLevel="0" max="22" min="22" style="1" width="26"/>
    <col collapsed="false" customWidth="true" hidden="false" outlineLevel="0" max="23" min="23" style="1" width="10"/>
    <col collapsed="false" customWidth="true" hidden="false" outlineLevel="0" max="24" min="24" style="1" width="30"/>
  </cols>
  <sheetData>
    <row r="1" customFormat="false" ht="18" hidden="false" customHeight="true" outlineLevel="0" collapsed="false">
      <c r="A1" s="2" t="s">
        <v>380</v>
      </c>
    </row>
    <row r="2" customFormat="false" ht="15" hidden="false" customHeight="true" outlineLevel="0" collapsed="false">
      <c r="A2" s="7" t="s">
        <v>381</v>
      </c>
    </row>
    <row r="4" customFormat="false" ht="31.5" hidden="false" customHeight="true" outlineLevel="0" collapsed="false">
      <c r="A4" s="16" t="s">
        <v>382</v>
      </c>
      <c r="B4" s="16" t="s">
        <v>67</v>
      </c>
      <c r="C4" s="16" t="s">
        <v>69</v>
      </c>
      <c r="D4" s="16" t="s">
        <v>383</v>
      </c>
      <c r="E4" s="16" t="s">
        <v>77</v>
      </c>
      <c r="F4" s="16" t="s">
        <v>384</v>
      </c>
      <c r="G4" s="16" t="s">
        <v>385</v>
      </c>
      <c r="H4" s="16" t="s">
        <v>386</v>
      </c>
      <c r="I4" s="16" t="s">
        <v>387</v>
      </c>
      <c r="J4" s="16" t="s">
        <v>388</v>
      </c>
      <c r="K4" s="16" t="s">
        <v>389</v>
      </c>
      <c r="L4" s="16" t="s">
        <v>310</v>
      </c>
      <c r="M4" s="16" t="s">
        <v>71</v>
      </c>
      <c r="N4" s="16" t="s">
        <v>72</v>
      </c>
      <c r="O4" s="16" t="s">
        <v>312</v>
      </c>
      <c r="P4" s="16" t="s">
        <v>390</v>
      </c>
      <c r="Q4" s="16" t="s">
        <v>391</v>
      </c>
      <c r="R4" s="16" t="s">
        <v>392</v>
      </c>
      <c r="S4" s="16" t="s">
        <v>393</v>
      </c>
      <c r="T4" s="16" t="s">
        <v>85</v>
      </c>
      <c r="U4" s="16" t="s">
        <v>394</v>
      </c>
      <c r="V4" s="16" t="s">
        <v>395</v>
      </c>
      <c r="W4" s="16" t="s">
        <v>396</v>
      </c>
      <c r="X4" s="16" t="s">
        <v>397</v>
      </c>
    </row>
    <row r="5" customFormat="false" ht="57" hidden="false" customHeight="true" outlineLevel="0" collapsed="false">
      <c r="A5" s="17" t="s">
        <v>398</v>
      </c>
      <c r="B5" s="5" t="s">
        <v>195</v>
      </c>
      <c r="C5" s="19" t="str">
        <f aca="false">IFERROR(INDEX(WorkPackages!$C$5:$C$40,MATCH(B5,WorkPackages!$A$5:$A$40,0)),"")</f>
        <v>Wave 0</v>
      </c>
      <c r="D5" s="5" t="s">
        <v>317</v>
      </c>
      <c r="E5" s="5" t="s">
        <v>399</v>
      </c>
      <c r="F5" s="5" t="s">
        <v>400</v>
      </c>
      <c r="G5" s="5" t="s">
        <v>401</v>
      </c>
      <c r="H5" s="5" t="s">
        <v>402</v>
      </c>
      <c r="I5" s="5" t="s">
        <v>403</v>
      </c>
      <c r="J5" s="5" t="s">
        <v>115</v>
      </c>
      <c r="K5" s="5" t="s">
        <v>404</v>
      </c>
      <c r="L5" s="5" t="s">
        <v>186</v>
      </c>
      <c r="M5" s="4" t="s">
        <v>32</v>
      </c>
      <c r="N5" s="4" t="s">
        <v>405</v>
      </c>
      <c r="O5" s="4" t="s">
        <v>406</v>
      </c>
      <c r="P5" s="19" t="str">
        <f aca="false">IFERROR(INDEX(WorkPackages!$H$5:$H$40,MATCH(B5,WorkPackages!$A$5:$A$40,0)),"")</f>
        <v>feat/wp-00-foundation</v>
      </c>
      <c r="Q5" s="18"/>
      <c r="R5" s="18"/>
      <c r="S5" s="4" t="s">
        <v>177</v>
      </c>
      <c r="T5" s="4" t="s">
        <v>407</v>
      </c>
      <c r="U5" s="5" t="s">
        <v>177</v>
      </c>
      <c r="V5" s="5" t="s">
        <v>408</v>
      </c>
      <c r="W5" s="5"/>
      <c r="X5" s="19" t="str">
        <f aca="false">IF(W5="","—",IFERROR(IF(INDEX(BackendChecklist!$H$5:$H$30,MATCH(W5,BackendChecklist!$A$5:$A$30,0))="نعم","جاهز للبدء",IF(V5="الآن (بنمط seam)","يبدأ بنمط seam — الربط ينتظر","ينتظر الباك اند")),"؟"))</f>
        <v>—</v>
      </c>
    </row>
    <row r="6" customFormat="false" ht="34.5" hidden="false" customHeight="true" outlineLevel="0" collapsed="false">
      <c r="A6" s="17" t="s">
        <v>409</v>
      </c>
      <c r="B6" s="5" t="s">
        <v>195</v>
      </c>
      <c r="C6" s="19" t="str">
        <f aca="false">IFERROR(INDEX(WorkPackages!$C$5:$C$40,MATCH(B6,WorkPackages!$A$5:$A$40,0)),"")</f>
        <v>Wave 0</v>
      </c>
      <c r="D6" s="5" t="s">
        <v>317</v>
      </c>
      <c r="E6" s="5" t="s">
        <v>399</v>
      </c>
      <c r="F6" s="5" t="s">
        <v>410</v>
      </c>
      <c r="G6" s="5" t="s">
        <v>411</v>
      </c>
      <c r="H6" s="5" t="s">
        <v>402</v>
      </c>
      <c r="I6" s="5" t="s">
        <v>412</v>
      </c>
      <c r="J6" s="5" t="s">
        <v>398</v>
      </c>
      <c r="K6" s="5" t="s">
        <v>404</v>
      </c>
      <c r="L6" s="5" t="s">
        <v>185</v>
      </c>
      <c r="M6" s="4" t="s">
        <v>32</v>
      </c>
      <c r="N6" s="4" t="s">
        <v>405</v>
      </c>
      <c r="O6" s="4" t="s">
        <v>406</v>
      </c>
      <c r="P6" s="19" t="str">
        <f aca="false">IFERROR(INDEX(WorkPackages!$H$5:$H$40,MATCH(B6,WorkPackages!$A$5:$A$40,0)),"")</f>
        <v>feat/wp-00-foundation</v>
      </c>
      <c r="Q6" s="18"/>
      <c r="R6" s="18"/>
      <c r="S6" s="4" t="s">
        <v>177</v>
      </c>
      <c r="T6" s="4" t="s">
        <v>407</v>
      </c>
      <c r="U6" s="5" t="s">
        <v>177</v>
      </c>
      <c r="V6" s="5" t="s">
        <v>408</v>
      </c>
      <c r="W6" s="5"/>
      <c r="X6" s="19" t="str">
        <f aca="false">IF(W6="","—",IFERROR(IF(INDEX(BackendChecklist!$H$5:$H$30,MATCH(W6,BackendChecklist!$A$5:$A$30,0))="نعم","جاهز للبدء",IF(V6="الآن (بنمط seam)","يبدأ بنمط seam — الربط ينتظر","ينتظر الباك اند")),"؟"))</f>
        <v>—</v>
      </c>
    </row>
    <row r="7" customFormat="false" ht="34.5" hidden="false" customHeight="true" outlineLevel="0" collapsed="false">
      <c r="A7" s="17" t="s">
        <v>413</v>
      </c>
      <c r="B7" s="5" t="s">
        <v>195</v>
      </c>
      <c r="C7" s="19" t="str">
        <f aca="false">IFERROR(INDEX(WorkPackages!$C$5:$C$40,MATCH(B7,WorkPackages!$A$5:$A$40,0)),"")</f>
        <v>Wave 0</v>
      </c>
      <c r="D7" s="5" t="s">
        <v>317</v>
      </c>
      <c r="E7" s="5" t="s">
        <v>399</v>
      </c>
      <c r="F7" s="5" t="s">
        <v>414</v>
      </c>
      <c r="G7" s="5" t="s">
        <v>415</v>
      </c>
      <c r="H7" s="5" t="s">
        <v>416</v>
      </c>
      <c r="I7" s="5" t="s">
        <v>417</v>
      </c>
      <c r="J7" s="5" t="s">
        <v>418</v>
      </c>
      <c r="K7" s="5" t="s">
        <v>404</v>
      </c>
      <c r="L7" s="5" t="s">
        <v>185</v>
      </c>
      <c r="M7" s="4" t="s">
        <v>32</v>
      </c>
      <c r="N7" s="4" t="s">
        <v>405</v>
      </c>
      <c r="O7" s="4" t="s">
        <v>406</v>
      </c>
      <c r="P7" s="19" t="str">
        <f aca="false">IFERROR(INDEX(WorkPackages!$H$5:$H$40,MATCH(B7,WorkPackages!$A$5:$A$40,0)),"")</f>
        <v>feat/wp-00-foundation</v>
      </c>
      <c r="Q7" s="18"/>
      <c r="R7" s="18"/>
      <c r="S7" s="4" t="s">
        <v>177</v>
      </c>
      <c r="T7" s="4" t="s">
        <v>407</v>
      </c>
      <c r="U7" s="5" t="s">
        <v>177</v>
      </c>
      <c r="V7" s="5" t="s">
        <v>408</v>
      </c>
      <c r="W7" s="5"/>
      <c r="X7" s="19" t="str">
        <f aca="false">IF(W7="","—",IFERROR(IF(INDEX(BackendChecklist!$H$5:$H$30,MATCH(W7,BackendChecklist!$A$5:$A$30,0))="نعم","جاهز للبدء",IF(V7="الآن (بنمط seam)","يبدأ بنمط seam — الربط ينتظر","ينتظر الباك اند")),"؟"))</f>
        <v>—</v>
      </c>
    </row>
    <row r="8" customFormat="false" ht="68.25" hidden="false" customHeight="true" outlineLevel="0" collapsed="false">
      <c r="A8" s="17" t="s">
        <v>419</v>
      </c>
      <c r="B8" s="5" t="s">
        <v>195</v>
      </c>
      <c r="C8" s="19" t="str">
        <f aca="false">IFERROR(INDEX(WorkPackages!$C$5:$C$40,MATCH(B8,WorkPackages!$A$5:$A$40,0)),"")</f>
        <v>Wave 0</v>
      </c>
      <c r="D8" s="5" t="s">
        <v>317</v>
      </c>
      <c r="E8" s="5" t="s">
        <v>399</v>
      </c>
      <c r="F8" s="5" t="s">
        <v>420</v>
      </c>
      <c r="G8" s="5" t="s">
        <v>421</v>
      </c>
      <c r="H8" s="5" t="s">
        <v>422</v>
      </c>
      <c r="I8" s="5" t="s">
        <v>423</v>
      </c>
      <c r="J8" s="5" t="s">
        <v>424</v>
      </c>
      <c r="K8" s="5" t="s">
        <v>404</v>
      </c>
      <c r="L8" s="5" t="s">
        <v>186</v>
      </c>
      <c r="M8" s="4" t="s">
        <v>32</v>
      </c>
      <c r="N8" s="4" t="s">
        <v>405</v>
      </c>
      <c r="O8" s="4" t="s">
        <v>406</v>
      </c>
      <c r="P8" s="19" t="str">
        <f aca="false">IFERROR(INDEX(WorkPackages!$H$5:$H$40,MATCH(B8,WorkPackages!$A$5:$A$40,0)),"")</f>
        <v>feat/wp-00-foundation</v>
      </c>
      <c r="Q8" s="18"/>
      <c r="R8" s="18"/>
      <c r="S8" s="4" t="s">
        <v>177</v>
      </c>
      <c r="T8" s="4" t="s">
        <v>407</v>
      </c>
      <c r="U8" s="5" t="s">
        <v>177</v>
      </c>
      <c r="V8" s="5" t="s">
        <v>408</v>
      </c>
      <c r="W8" s="5"/>
      <c r="X8" s="19" t="str">
        <f aca="false">IF(W8="","—",IFERROR(IF(INDEX(BackendChecklist!$H$5:$H$30,MATCH(W8,BackendChecklist!$A$5:$A$30,0))="نعم","جاهز للبدء",IF(V8="الآن (بنمط seam)","يبدأ بنمط seam — الربط ينتظر","ينتظر الباك اند")),"؟"))</f>
        <v>—</v>
      </c>
    </row>
    <row r="9" customFormat="false" ht="68.25" hidden="false" customHeight="true" outlineLevel="0" collapsed="false">
      <c r="A9" s="17" t="s">
        <v>425</v>
      </c>
      <c r="B9" s="5" t="s">
        <v>195</v>
      </c>
      <c r="C9" s="19" t="str">
        <f aca="false">IFERROR(INDEX(WorkPackages!$C$5:$C$40,MATCH(B9,WorkPackages!$A$5:$A$40,0)),"")</f>
        <v>Wave 0</v>
      </c>
      <c r="D9" s="5" t="s">
        <v>317</v>
      </c>
      <c r="E9" s="5" t="s">
        <v>399</v>
      </c>
      <c r="F9" s="5" t="s">
        <v>426</v>
      </c>
      <c r="G9" s="5" t="s">
        <v>427</v>
      </c>
      <c r="H9" s="5" t="s">
        <v>428</v>
      </c>
      <c r="I9" s="5" t="s">
        <v>429</v>
      </c>
      <c r="J9" s="5" t="s">
        <v>424</v>
      </c>
      <c r="K9" s="5" t="s">
        <v>404</v>
      </c>
      <c r="L9" s="5" t="s">
        <v>186</v>
      </c>
      <c r="M9" s="4" t="s">
        <v>32</v>
      </c>
      <c r="N9" s="4" t="s">
        <v>405</v>
      </c>
      <c r="O9" s="4" t="s">
        <v>406</v>
      </c>
      <c r="P9" s="19" t="str">
        <f aca="false">IFERROR(INDEX(WorkPackages!$H$5:$H$40,MATCH(B9,WorkPackages!$A$5:$A$40,0)),"")</f>
        <v>feat/wp-00-foundation</v>
      </c>
      <c r="Q9" s="18"/>
      <c r="R9" s="18"/>
      <c r="S9" s="4" t="s">
        <v>177</v>
      </c>
      <c r="T9" s="4" t="s">
        <v>407</v>
      </c>
      <c r="U9" s="5" t="s">
        <v>177</v>
      </c>
      <c r="V9" s="5" t="s">
        <v>408</v>
      </c>
      <c r="W9" s="5"/>
      <c r="X9" s="19" t="str">
        <f aca="false">IF(W9="","—",IFERROR(IF(INDEX(BackendChecklist!$H$5:$H$30,MATCH(W9,BackendChecklist!$A$5:$A$30,0))="نعم","جاهز للبدء",IF(V9="الآن (بنمط seam)","يبدأ بنمط seam — الربط ينتظر","ينتظر الباك اند")),"؟"))</f>
        <v>—</v>
      </c>
    </row>
    <row r="10" customFormat="false" ht="23.25" hidden="false" customHeight="true" outlineLevel="0" collapsed="false">
      <c r="A10" s="17" t="s">
        <v>430</v>
      </c>
      <c r="B10" s="5" t="s">
        <v>195</v>
      </c>
      <c r="C10" s="19" t="str">
        <f aca="false">IFERROR(INDEX(WorkPackages!$C$5:$C$40,MATCH(B10,WorkPackages!$A$5:$A$40,0)),"")</f>
        <v>Wave 0</v>
      </c>
      <c r="D10" s="5" t="s">
        <v>317</v>
      </c>
      <c r="E10" s="5" t="s">
        <v>399</v>
      </c>
      <c r="F10" s="5" t="s">
        <v>431</v>
      </c>
      <c r="G10" s="5" t="s">
        <v>432</v>
      </c>
      <c r="H10" s="5" t="s">
        <v>433</v>
      </c>
      <c r="I10" s="5" t="s">
        <v>115</v>
      </c>
      <c r="J10" s="5" t="s">
        <v>115</v>
      </c>
      <c r="K10" s="5" t="s">
        <v>404</v>
      </c>
      <c r="L10" s="5" t="s">
        <v>185</v>
      </c>
      <c r="M10" s="4" t="s">
        <v>32</v>
      </c>
      <c r="N10" s="4" t="s">
        <v>405</v>
      </c>
      <c r="O10" s="4" t="s">
        <v>406</v>
      </c>
      <c r="P10" s="19" t="str">
        <f aca="false">IFERROR(INDEX(WorkPackages!$H$5:$H$40,MATCH(B10,WorkPackages!$A$5:$A$40,0)),"")</f>
        <v>feat/wp-00-foundation</v>
      </c>
      <c r="Q10" s="18"/>
      <c r="R10" s="18"/>
      <c r="S10" s="4" t="s">
        <v>177</v>
      </c>
      <c r="T10" s="4" t="s">
        <v>407</v>
      </c>
      <c r="U10" s="5" t="s">
        <v>177</v>
      </c>
      <c r="V10" s="5" t="s">
        <v>408</v>
      </c>
      <c r="W10" s="5"/>
      <c r="X10" s="19" t="str">
        <f aca="false">IF(W10="","—",IFERROR(IF(INDEX(BackendChecklist!$H$5:$H$30,MATCH(W10,BackendChecklist!$A$5:$A$30,0))="نعم","جاهز للبدء",IF(V10="الآن (بنمط seam)","يبدأ بنمط seam — الربط ينتظر","ينتظر الباك اند")),"؟"))</f>
        <v>—</v>
      </c>
    </row>
    <row r="11" customFormat="false" ht="34.5" hidden="false" customHeight="true" outlineLevel="0" collapsed="false">
      <c r="A11" s="17" t="s">
        <v>418</v>
      </c>
      <c r="B11" s="5" t="s">
        <v>195</v>
      </c>
      <c r="C11" s="19" t="str">
        <f aca="false">IFERROR(INDEX(WorkPackages!$C$5:$C$40,MATCH(B11,WorkPackages!$A$5:$A$40,0)),"")</f>
        <v>Wave 0</v>
      </c>
      <c r="D11" s="5" t="s">
        <v>317</v>
      </c>
      <c r="E11" s="5" t="s">
        <v>434</v>
      </c>
      <c r="F11" s="5" t="s">
        <v>435</v>
      </c>
      <c r="G11" s="5" t="s">
        <v>436</v>
      </c>
      <c r="H11" s="5" t="s">
        <v>437</v>
      </c>
      <c r="I11" s="5" t="s">
        <v>115</v>
      </c>
      <c r="J11" s="5" t="s">
        <v>115</v>
      </c>
      <c r="K11" s="5" t="s">
        <v>404</v>
      </c>
      <c r="L11" s="5" t="s">
        <v>185</v>
      </c>
      <c r="M11" s="4" t="s">
        <v>32</v>
      </c>
      <c r="N11" s="4" t="s">
        <v>405</v>
      </c>
      <c r="O11" s="4" t="s">
        <v>406</v>
      </c>
      <c r="P11" s="19" t="str">
        <f aca="false">IFERROR(INDEX(WorkPackages!$H$5:$H$40,MATCH(B11,WorkPackages!$A$5:$A$40,0)),"")</f>
        <v>feat/wp-00-foundation</v>
      </c>
      <c r="Q11" s="18"/>
      <c r="R11" s="18"/>
      <c r="S11" s="4" t="s">
        <v>177</v>
      </c>
      <c r="T11" s="4" t="s">
        <v>407</v>
      </c>
      <c r="U11" s="5" t="s">
        <v>177</v>
      </c>
      <c r="V11" s="5" t="s">
        <v>408</v>
      </c>
      <c r="W11" s="5"/>
      <c r="X11" s="19" t="str">
        <f aca="false">IF(W11="","—",IFERROR(IF(INDEX(BackendChecklist!$H$5:$H$30,MATCH(W11,BackendChecklist!$A$5:$A$30,0))="نعم","جاهز للبدء",IF(V11="الآن (بنمط seam)","يبدأ بنمط seam — الربط ينتظر","ينتظر الباك اند")),"؟"))</f>
        <v>—</v>
      </c>
    </row>
    <row r="12" customFormat="false" ht="23.25" hidden="false" customHeight="true" outlineLevel="0" collapsed="false">
      <c r="A12" s="17" t="s">
        <v>438</v>
      </c>
      <c r="B12" s="5" t="s">
        <v>195</v>
      </c>
      <c r="C12" s="19" t="str">
        <f aca="false">IFERROR(INDEX(WorkPackages!$C$5:$C$40,MATCH(B12,WorkPackages!$A$5:$A$40,0)),"")</f>
        <v>Wave 0</v>
      </c>
      <c r="D12" s="5" t="s">
        <v>317</v>
      </c>
      <c r="E12" s="5" t="s">
        <v>434</v>
      </c>
      <c r="F12" s="5" t="s">
        <v>439</v>
      </c>
      <c r="G12" s="5" t="s">
        <v>440</v>
      </c>
      <c r="H12" s="5" t="s">
        <v>441</v>
      </c>
      <c r="I12" s="5" t="s">
        <v>115</v>
      </c>
      <c r="J12" s="5" t="s">
        <v>115</v>
      </c>
      <c r="K12" s="5" t="s">
        <v>404</v>
      </c>
      <c r="L12" s="5" t="s">
        <v>185</v>
      </c>
      <c r="M12" s="4" t="s">
        <v>32</v>
      </c>
      <c r="N12" s="4" t="s">
        <v>405</v>
      </c>
      <c r="O12" s="4" t="s">
        <v>406</v>
      </c>
      <c r="P12" s="19" t="str">
        <f aca="false">IFERROR(INDEX(WorkPackages!$H$5:$H$40,MATCH(B12,WorkPackages!$A$5:$A$40,0)),"")</f>
        <v>feat/wp-00-foundation</v>
      </c>
      <c r="Q12" s="18"/>
      <c r="R12" s="18"/>
      <c r="S12" s="4" t="s">
        <v>177</v>
      </c>
      <c r="T12" s="4" t="s">
        <v>407</v>
      </c>
      <c r="U12" s="5" t="s">
        <v>177</v>
      </c>
      <c r="V12" s="5" t="s">
        <v>408</v>
      </c>
      <c r="W12" s="5"/>
      <c r="X12" s="19" t="str">
        <f aca="false">IF(W12="","—",IFERROR(IF(INDEX(BackendChecklist!$H$5:$H$30,MATCH(W12,BackendChecklist!$A$5:$A$30,0))="نعم","جاهز للبدء",IF(V12="الآن (بنمط seam)","يبدأ بنمط seam — الربط ينتظر","ينتظر الباك اند")),"؟"))</f>
        <v>—</v>
      </c>
    </row>
    <row r="13" customFormat="false" ht="45.75" hidden="false" customHeight="true" outlineLevel="0" collapsed="false">
      <c r="A13" s="17" t="s">
        <v>442</v>
      </c>
      <c r="B13" s="5" t="s">
        <v>195</v>
      </c>
      <c r="C13" s="19" t="str">
        <f aca="false">IFERROR(INDEX(WorkPackages!$C$5:$C$40,MATCH(B13,WorkPackages!$A$5:$A$40,0)),"")</f>
        <v>Wave 0</v>
      </c>
      <c r="D13" s="5" t="s">
        <v>317</v>
      </c>
      <c r="E13" s="5" t="s">
        <v>443</v>
      </c>
      <c r="F13" s="5" t="s">
        <v>444</v>
      </c>
      <c r="G13" s="5" t="s">
        <v>445</v>
      </c>
      <c r="H13" s="5" t="s">
        <v>446</v>
      </c>
      <c r="I13" s="5" t="s">
        <v>115</v>
      </c>
      <c r="J13" s="5" t="s">
        <v>418</v>
      </c>
      <c r="K13" s="5" t="s">
        <v>404</v>
      </c>
      <c r="L13" s="5" t="s">
        <v>186</v>
      </c>
      <c r="M13" s="4" t="s">
        <v>32</v>
      </c>
      <c r="N13" s="4" t="s">
        <v>405</v>
      </c>
      <c r="O13" s="4" t="s">
        <v>406</v>
      </c>
      <c r="P13" s="19" t="str">
        <f aca="false">IFERROR(INDEX(WorkPackages!$H$5:$H$40,MATCH(B13,WorkPackages!$A$5:$A$40,0)),"")</f>
        <v>feat/wp-00-foundation</v>
      </c>
      <c r="Q13" s="18"/>
      <c r="R13" s="18"/>
      <c r="S13" s="4" t="s">
        <v>177</v>
      </c>
      <c r="T13" s="4" t="s">
        <v>407</v>
      </c>
      <c r="U13" s="5" t="s">
        <v>177</v>
      </c>
      <c r="V13" s="5" t="s">
        <v>408</v>
      </c>
      <c r="W13" s="5"/>
      <c r="X13" s="19" t="str">
        <f aca="false">IF(W13="","—",IFERROR(IF(INDEX(BackendChecklist!$H$5:$H$30,MATCH(W13,BackendChecklist!$A$5:$A$30,0))="نعم","جاهز للبدء",IF(V13="الآن (بنمط seam)","يبدأ بنمط seam — الربط ينتظر","ينتظر الباك اند")),"؟"))</f>
        <v>—</v>
      </c>
    </row>
    <row r="14" customFormat="false" ht="34.5" hidden="false" customHeight="true" outlineLevel="0" collapsed="false">
      <c r="A14" s="17" t="s">
        <v>447</v>
      </c>
      <c r="B14" s="5" t="s">
        <v>195</v>
      </c>
      <c r="C14" s="19" t="str">
        <f aca="false">IFERROR(INDEX(WorkPackages!$C$5:$C$40,MATCH(B14,WorkPackages!$A$5:$A$40,0)),"")</f>
        <v>Wave 0</v>
      </c>
      <c r="D14" s="5" t="s">
        <v>317</v>
      </c>
      <c r="E14" s="5" t="s">
        <v>434</v>
      </c>
      <c r="F14" s="5" t="s">
        <v>448</v>
      </c>
      <c r="G14" s="5" t="s">
        <v>449</v>
      </c>
      <c r="H14" s="5" t="s">
        <v>450</v>
      </c>
      <c r="I14" s="5" t="s">
        <v>115</v>
      </c>
      <c r="J14" s="5" t="s">
        <v>115</v>
      </c>
      <c r="K14" s="5" t="s">
        <v>404</v>
      </c>
      <c r="L14" s="5" t="s">
        <v>185</v>
      </c>
      <c r="M14" s="4" t="s">
        <v>32</v>
      </c>
      <c r="N14" s="4" t="s">
        <v>405</v>
      </c>
      <c r="O14" s="4" t="s">
        <v>406</v>
      </c>
      <c r="P14" s="19" t="str">
        <f aca="false">IFERROR(INDEX(WorkPackages!$H$5:$H$40,MATCH(B14,WorkPackages!$A$5:$A$40,0)),"")</f>
        <v>feat/wp-00-foundation</v>
      </c>
      <c r="Q14" s="18"/>
      <c r="R14" s="18"/>
      <c r="S14" s="4" t="s">
        <v>177</v>
      </c>
      <c r="T14" s="4" t="s">
        <v>451</v>
      </c>
      <c r="U14" s="5" t="s">
        <v>177</v>
      </c>
      <c r="V14" s="5" t="s">
        <v>408</v>
      </c>
      <c r="W14" s="5"/>
      <c r="X14" s="19" t="str">
        <f aca="false">IF(W14="","—",IFERROR(IF(INDEX(BackendChecklist!$H$5:$H$30,MATCH(W14,BackendChecklist!$A$5:$A$30,0))="نعم","جاهز للبدء",IF(V14="الآن (بنمط seam)","يبدأ بنمط seam — الربط ينتظر","ينتظر الباك اند")),"؟"))</f>
        <v>—</v>
      </c>
    </row>
    <row r="15" customFormat="false" ht="23.25" hidden="false" customHeight="true" outlineLevel="0" collapsed="false">
      <c r="A15" s="17" t="s">
        <v>452</v>
      </c>
      <c r="B15" s="5" t="s">
        <v>195</v>
      </c>
      <c r="C15" s="19" t="str">
        <f aca="false">IFERROR(INDEX(WorkPackages!$C$5:$C$40,MATCH(B15,WorkPackages!$A$5:$A$40,0)),"")</f>
        <v>Wave 0</v>
      </c>
      <c r="D15" s="5" t="s">
        <v>317</v>
      </c>
      <c r="E15" s="5" t="s">
        <v>434</v>
      </c>
      <c r="F15" s="5" t="s">
        <v>453</v>
      </c>
      <c r="G15" s="5" t="s">
        <v>454</v>
      </c>
      <c r="H15" s="5" t="s">
        <v>455</v>
      </c>
      <c r="I15" s="5" t="s">
        <v>115</v>
      </c>
      <c r="J15" s="5" t="s">
        <v>418</v>
      </c>
      <c r="K15" s="5" t="s">
        <v>404</v>
      </c>
      <c r="L15" s="5" t="s">
        <v>185</v>
      </c>
      <c r="M15" s="4" t="s">
        <v>32</v>
      </c>
      <c r="N15" s="4" t="s">
        <v>405</v>
      </c>
      <c r="O15" s="4" t="s">
        <v>406</v>
      </c>
      <c r="P15" s="19" t="str">
        <f aca="false">IFERROR(INDEX(WorkPackages!$H$5:$H$40,MATCH(B15,WorkPackages!$A$5:$A$40,0)),"")</f>
        <v>feat/wp-00-foundation</v>
      </c>
      <c r="Q15" s="18"/>
      <c r="R15" s="18"/>
      <c r="S15" s="4" t="s">
        <v>177</v>
      </c>
      <c r="T15" s="4" t="s">
        <v>407</v>
      </c>
      <c r="U15" s="5" t="s">
        <v>177</v>
      </c>
      <c r="V15" s="5" t="s">
        <v>408</v>
      </c>
      <c r="W15" s="5"/>
      <c r="X15" s="19" t="str">
        <f aca="false">IF(W15="","—",IFERROR(IF(INDEX(BackendChecklist!$H$5:$H$30,MATCH(W15,BackendChecklist!$A$5:$A$30,0))="نعم","جاهز للبدء",IF(V15="الآن (بنمط seam)","يبدأ بنمط seam — الربط ينتظر","ينتظر الباك اند")),"؟"))</f>
        <v>—</v>
      </c>
    </row>
    <row r="16" customFormat="false" ht="23.25" hidden="false" customHeight="true" outlineLevel="0" collapsed="false">
      <c r="A16" s="17" t="s">
        <v>456</v>
      </c>
      <c r="B16" s="5" t="s">
        <v>195</v>
      </c>
      <c r="C16" s="19" t="str">
        <f aca="false">IFERROR(INDEX(WorkPackages!$C$5:$C$40,MATCH(B16,WorkPackages!$A$5:$A$40,0)),"")</f>
        <v>Wave 0</v>
      </c>
      <c r="D16" s="5" t="s">
        <v>317</v>
      </c>
      <c r="E16" s="5" t="s">
        <v>457</v>
      </c>
      <c r="F16" s="5" t="s">
        <v>458</v>
      </c>
      <c r="G16" s="5" t="s">
        <v>459</v>
      </c>
      <c r="H16" s="5" t="s">
        <v>460</v>
      </c>
      <c r="I16" s="5" t="s">
        <v>461</v>
      </c>
      <c r="J16" s="5" t="s">
        <v>462</v>
      </c>
      <c r="K16" s="5" t="s">
        <v>404</v>
      </c>
      <c r="L16" s="5" t="s">
        <v>186</v>
      </c>
      <c r="M16" s="4" t="s">
        <v>32</v>
      </c>
      <c r="N16" s="4" t="s">
        <v>405</v>
      </c>
      <c r="O16" s="4" t="s">
        <v>406</v>
      </c>
      <c r="P16" s="19" t="str">
        <f aca="false">IFERROR(INDEX(WorkPackages!$H$5:$H$40,MATCH(B16,WorkPackages!$A$5:$A$40,0)),"")</f>
        <v>feat/wp-00-foundation</v>
      </c>
      <c r="Q16" s="18"/>
      <c r="R16" s="18"/>
      <c r="S16" s="4" t="s">
        <v>177</v>
      </c>
      <c r="T16" s="4" t="s">
        <v>463</v>
      </c>
      <c r="U16" s="5" t="s">
        <v>177</v>
      </c>
      <c r="V16" s="5" t="s">
        <v>408</v>
      </c>
      <c r="W16" s="5"/>
      <c r="X16" s="19" t="str">
        <f aca="false">IF(W16="","—",IFERROR(IF(INDEX(BackendChecklist!$H$5:$H$30,MATCH(W16,BackendChecklist!$A$5:$A$30,0))="نعم","جاهز للبدء",IF(V16="الآن (بنمط seam)","يبدأ بنمط seam — الربط ينتظر","ينتظر الباك اند")),"؟"))</f>
        <v>—</v>
      </c>
    </row>
    <row r="17" customFormat="false" ht="34.5" hidden="false" customHeight="true" outlineLevel="0" collapsed="false">
      <c r="A17" s="17" t="s">
        <v>464</v>
      </c>
      <c r="B17" s="5" t="s">
        <v>195</v>
      </c>
      <c r="C17" s="19" t="str">
        <f aca="false">IFERROR(INDEX(WorkPackages!$C$5:$C$40,MATCH(B17,WorkPackages!$A$5:$A$40,0)),"")</f>
        <v>Wave 0</v>
      </c>
      <c r="D17" s="5" t="s">
        <v>317</v>
      </c>
      <c r="E17" s="5" t="s">
        <v>465</v>
      </c>
      <c r="F17" s="5" t="s">
        <v>466</v>
      </c>
      <c r="G17" s="5" t="s">
        <v>467</v>
      </c>
      <c r="H17" s="5" t="s">
        <v>468</v>
      </c>
      <c r="I17" s="5" t="s">
        <v>115</v>
      </c>
      <c r="J17" s="5" t="s">
        <v>115</v>
      </c>
      <c r="K17" s="5" t="s">
        <v>404</v>
      </c>
      <c r="L17" s="5" t="s">
        <v>185</v>
      </c>
      <c r="M17" s="4" t="s">
        <v>32</v>
      </c>
      <c r="N17" s="4" t="s">
        <v>405</v>
      </c>
      <c r="O17" s="4" t="s">
        <v>406</v>
      </c>
      <c r="P17" s="19" t="str">
        <f aca="false">IFERROR(INDEX(WorkPackages!$H$5:$H$40,MATCH(B17,WorkPackages!$A$5:$A$40,0)),"")</f>
        <v>feat/wp-00-foundation</v>
      </c>
      <c r="Q17" s="18"/>
      <c r="R17" s="18"/>
      <c r="S17" s="4" t="s">
        <v>177</v>
      </c>
      <c r="T17" s="4" t="s">
        <v>407</v>
      </c>
      <c r="U17" s="5" t="s">
        <v>177</v>
      </c>
      <c r="V17" s="5" t="s">
        <v>408</v>
      </c>
      <c r="W17" s="5"/>
      <c r="X17" s="19" t="str">
        <f aca="false">IF(W17="","—",IFERROR(IF(INDEX(BackendChecklist!$H$5:$H$30,MATCH(W17,BackendChecklist!$A$5:$A$30,0))="نعم","جاهز للبدء",IF(V17="الآن (بنمط seam)","يبدأ بنمط seam — الربط ينتظر","ينتظر الباك اند")),"؟"))</f>
        <v>—</v>
      </c>
    </row>
    <row r="18" customFormat="false" ht="45.75" hidden="false" customHeight="true" outlineLevel="0" collapsed="false">
      <c r="A18" s="17" t="s">
        <v>469</v>
      </c>
      <c r="B18" s="5" t="s">
        <v>195</v>
      </c>
      <c r="C18" s="19" t="str">
        <f aca="false">IFERROR(INDEX(WorkPackages!$C$5:$C$40,MATCH(B18,WorkPackages!$A$5:$A$40,0)),"")</f>
        <v>Wave 0</v>
      </c>
      <c r="D18" s="5" t="s">
        <v>317</v>
      </c>
      <c r="E18" s="5" t="s">
        <v>470</v>
      </c>
      <c r="F18" s="5" t="s">
        <v>471</v>
      </c>
      <c r="G18" s="5" t="s">
        <v>472</v>
      </c>
      <c r="H18" s="5" t="s">
        <v>473</v>
      </c>
      <c r="I18" s="5" t="s">
        <v>115</v>
      </c>
      <c r="J18" s="5" t="s">
        <v>464</v>
      </c>
      <c r="K18" s="5" t="s">
        <v>404</v>
      </c>
      <c r="L18" s="5" t="s">
        <v>186</v>
      </c>
      <c r="M18" s="4" t="s">
        <v>32</v>
      </c>
      <c r="N18" s="4" t="s">
        <v>405</v>
      </c>
      <c r="O18" s="4" t="s">
        <v>406</v>
      </c>
      <c r="P18" s="19" t="str">
        <f aca="false">IFERROR(INDEX(WorkPackages!$H$5:$H$40,MATCH(B18,WorkPackages!$A$5:$A$40,0)),"")</f>
        <v>feat/wp-00-foundation</v>
      </c>
      <c r="Q18" s="18"/>
      <c r="R18" s="18"/>
      <c r="S18" s="4" t="s">
        <v>177</v>
      </c>
      <c r="T18" s="4" t="s">
        <v>407</v>
      </c>
      <c r="U18" s="5" t="s">
        <v>177</v>
      </c>
      <c r="V18" s="5" t="s">
        <v>408</v>
      </c>
      <c r="W18" s="5"/>
      <c r="X18" s="19" t="str">
        <f aca="false">IF(W18="","—",IFERROR(IF(INDEX(BackendChecklist!$H$5:$H$30,MATCH(W18,BackendChecklist!$A$5:$A$30,0))="نعم","جاهز للبدء",IF(V18="الآن (بنمط seam)","يبدأ بنمط seam — الربط ينتظر","ينتظر الباك اند")),"؟"))</f>
        <v>—</v>
      </c>
    </row>
    <row r="19" customFormat="false" ht="23.25" hidden="false" customHeight="true" outlineLevel="0" collapsed="false">
      <c r="A19" s="17" t="s">
        <v>474</v>
      </c>
      <c r="B19" s="5" t="s">
        <v>195</v>
      </c>
      <c r="C19" s="19" t="str">
        <f aca="false">IFERROR(INDEX(WorkPackages!$C$5:$C$40,MATCH(B19,WorkPackages!$A$5:$A$40,0)),"")</f>
        <v>Wave 0</v>
      </c>
      <c r="D19" s="5" t="s">
        <v>317</v>
      </c>
      <c r="E19" s="5" t="s">
        <v>443</v>
      </c>
      <c r="F19" s="5" t="s">
        <v>475</v>
      </c>
      <c r="G19" s="5" t="s">
        <v>476</v>
      </c>
      <c r="H19" s="5" t="s">
        <v>477</v>
      </c>
      <c r="I19" s="5" t="s">
        <v>115</v>
      </c>
      <c r="J19" s="5" t="s">
        <v>442</v>
      </c>
      <c r="K19" s="5" t="s">
        <v>404</v>
      </c>
      <c r="L19" s="5" t="s">
        <v>186</v>
      </c>
      <c r="M19" s="4" t="s">
        <v>32</v>
      </c>
      <c r="N19" s="4" t="s">
        <v>405</v>
      </c>
      <c r="O19" s="4" t="s">
        <v>406</v>
      </c>
      <c r="P19" s="19" t="str">
        <f aca="false">IFERROR(INDEX(WorkPackages!$H$5:$H$40,MATCH(B19,WorkPackages!$A$5:$A$40,0)),"")</f>
        <v>feat/wp-00-foundation</v>
      </c>
      <c r="Q19" s="18"/>
      <c r="R19" s="18"/>
      <c r="S19" s="4" t="s">
        <v>177</v>
      </c>
      <c r="T19" s="4" t="s">
        <v>407</v>
      </c>
      <c r="U19" s="5" t="s">
        <v>177</v>
      </c>
      <c r="V19" s="5" t="s">
        <v>408</v>
      </c>
      <c r="W19" s="5"/>
      <c r="X19" s="19" t="str">
        <f aca="false">IF(W19="","—",IFERROR(IF(INDEX(BackendChecklist!$H$5:$H$30,MATCH(W19,BackendChecklist!$A$5:$A$30,0))="نعم","جاهز للبدء",IF(V19="الآن (بنمط seam)","يبدأ بنمط seam — الربط ينتظر","ينتظر الباك اند")),"؟"))</f>
        <v>—</v>
      </c>
    </row>
    <row r="20" customFormat="false" ht="23.25" hidden="false" customHeight="true" outlineLevel="0" collapsed="false">
      <c r="A20" s="17" t="s">
        <v>478</v>
      </c>
      <c r="B20" s="5" t="s">
        <v>195</v>
      </c>
      <c r="C20" s="19" t="str">
        <f aca="false">IFERROR(INDEX(WorkPackages!$C$5:$C$40,MATCH(B20,WorkPackages!$A$5:$A$40,0)),"")</f>
        <v>Wave 0</v>
      </c>
      <c r="D20" s="5" t="s">
        <v>317</v>
      </c>
      <c r="E20" s="5" t="s">
        <v>470</v>
      </c>
      <c r="F20" s="5" t="s">
        <v>479</v>
      </c>
      <c r="G20" s="5" t="s">
        <v>480</v>
      </c>
      <c r="H20" s="5" t="s">
        <v>481</v>
      </c>
      <c r="I20" s="5" t="s">
        <v>482</v>
      </c>
      <c r="J20" s="5" t="s">
        <v>474</v>
      </c>
      <c r="K20" s="5" t="s">
        <v>404</v>
      </c>
      <c r="L20" s="5" t="s">
        <v>185</v>
      </c>
      <c r="M20" s="4" t="s">
        <v>32</v>
      </c>
      <c r="N20" s="4" t="s">
        <v>405</v>
      </c>
      <c r="O20" s="4" t="s">
        <v>406</v>
      </c>
      <c r="P20" s="19" t="str">
        <f aca="false">IFERROR(INDEX(WorkPackages!$H$5:$H$40,MATCH(B20,WorkPackages!$A$5:$A$40,0)),"")</f>
        <v>feat/wp-00-foundation</v>
      </c>
      <c r="Q20" s="18"/>
      <c r="R20" s="18"/>
      <c r="S20" s="4" t="s">
        <v>177</v>
      </c>
      <c r="T20" s="4" t="s">
        <v>407</v>
      </c>
      <c r="U20" s="5" t="s">
        <v>177</v>
      </c>
      <c r="V20" s="5" t="s">
        <v>408</v>
      </c>
      <c r="W20" s="5"/>
      <c r="X20" s="19" t="str">
        <f aca="false">IF(W20="","—",IFERROR(IF(INDEX(BackendChecklist!$H$5:$H$30,MATCH(W20,BackendChecklist!$A$5:$A$30,0))="نعم","جاهز للبدء",IF(V20="الآن (بنمط seam)","يبدأ بنمط seam — الربط ينتظر","ينتظر الباك اند")),"؟"))</f>
        <v>—</v>
      </c>
    </row>
    <row r="21" customFormat="false" ht="34.5" hidden="false" customHeight="true" outlineLevel="0" collapsed="false">
      <c r="A21" s="17" t="s">
        <v>483</v>
      </c>
      <c r="B21" s="5" t="s">
        <v>195</v>
      </c>
      <c r="C21" s="19" t="str">
        <f aca="false">IFERROR(INDEX(WorkPackages!$C$5:$C$40,MATCH(B21,WorkPackages!$A$5:$A$40,0)),"")</f>
        <v>Wave 0</v>
      </c>
      <c r="D21" s="5" t="s">
        <v>317</v>
      </c>
      <c r="E21" s="5" t="s">
        <v>484</v>
      </c>
      <c r="F21" s="5" t="s">
        <v>485</v>
      </c>
      <c r="G21" s="5" t="s">
        <v>486</v>
      </c>
      <c r="H21" s="5" t="s">
        <v>487</v>
      </c>
      <c r="I21" s="5" t="s">
        <v>115</v>
      </c>
      <c r="J21" s="5" t="s">
        <v>469</v>
      </c>
      <c r="K21" s="5" t="s">
        <v>404</v>
      </c>
      <c r="L21" s="5" t="s">
        <v>185</v>
      </c>
      <c r="M21" s="4" t="s">
        <v>31</v>
      </c>
      <c r="N21" s="4" t="s">
        <v>488</v>
      </c>
      <c r="O21" s="4" t="s">
        <v>489</v>
      </c>
      <c r="P21" s="19" t="str">
        <f aca="false">IFERROR(INDEX(WorkPackages!$H$5:$H$40,MATCH(B21,WorkPackages!$A$5:$A$40,0)),"")</f>
        <v>feat/wp-00-foundation</v>
      </c>
      <c r="Q21" s="18"/>
      <c r="R21" s="18"/>
      <c r="S21" s="4" t="s">
        <v>177</v>
      </c>
      <c r="T21" s="4" t="s">
        <v>490</v>
      </c>
      <c r="U21" s="5" t="s">
        <v>177</v>
      </c>
      <c r="V21" s="5" t="s">
        <v>408</v>
      </c>
      <c r="W21" s="5"/>
      <c r="X21" s="19" t="str">
        <f aca="false">IF(W21="","—",IFERROR(IF(INDEX(BackendChecklist!$H$5:$H$30,MATCH(W21,BackendChecklist!$A$5:$A$30,0))="نعم","جاهز للبدء",IF(V21="الآن (بنمط seam)","يبدأ بنمط seam — الربط ينتظر","ينتظر الباك اند")),"؟"))</f>
        <v>—</v>
      </c>
    </row>
    <row r="22" customFormat="false" ht="34.5" hidden="false" customHeight="true" outlineLevel="0" collapsed="false">
      <c r="A22" s="17" t="s">
        <v>491</v>
      </c>
      <c r="B22" s="5" t="s">
        <v>195</v>
      </c>
      <c r="C22" s="19" t="str">
        <f aca="false">IFERROR(INDEX(WorkPackages!$C$5:$C$40,MATCH(B22,WorkPackages!$A$5:$A$40,0)),"")</f>
        <v>Wave 0</v>
      </c>
      <c r="D22" s="5" t="s">
        <v>317</v>
      </c>
      <c r="E22" s="5" t="s">
        <v>465</v>
      </c>
      <c r="F22" s="5" t="s">
        <v>492</v>
      </c>
      <c r="G22" s="5" t="s">
        <v>493</v>
      </c>
      <c r="H22" s="5" t="s">
        <v>494</v>
      </c>
      <c r="I22" s="5" t="s">
        <v>115</v>
      </c>
      <c r="J22" s="5" t="s">
        <v>464</v>
      </c>
      <c r="K22" s="5" t="s">
        <v>495</v>
      </c>
      <c r="L22" s="5" t="s">
        <v>185</v>
      </c>
      <c r="M22" s="4" t="s">
        <v>32</v>
      </c>
      <c r="N22" s="4" t="s">
        <v>405</v>
      </c>
      <c r="O22" s="4" t="s">
        <v>406</v>
      </c>
      <c r="P22" s="19" t="str">
        <f aca="false">IFERROR(INDEX(WorkPackages!$H$5:$H$40,MATCH(B22,WorkPackages!$A$5:$A$40,0)),"")</f>
        <v>feat/wp-00-foundation</v>
      </c>
      <c r="Q22" s="18"/>
      <c r="R22" s="18"/>
      <c r="S22" s="4" t="s">
        <v>177</v>
      </c>
      <c r="T22" s="4" t="s">
        <v>496</v>
      </c>
      <c r="U22" s="5" t="s">
        <v>177</v>
      </c>
      <c r="V22" s="5" t="s">
        <v>408</v>
      </c>
      <c r="W22" s="5"/>
      <c r="X22" s="19" t="str">
        <f aca="false">IF(W22="","—",IFERROR(IF(INDEX(BackendChecklist!$H$5:$H$30,MATCH(W22,BackendChecklist!$A$5:$A$30,0))="نعم","جاهز للبدء",IF(V22="الآن (بنمط seam)","يبدأ بنمط seam — الربط ينتظر","ينتظر الباك اند")),"؟"))</f>
        <v>—</v>
      </c>
    </row>
    <row r="23" customFormat="false" ht="23.25" hidden="false" customHeight="true" outlineLevel="0" collapsed="false">
      <c r="A23" s="17" t="s">
        <v>497</v>
      </c>
      <c r="B23" s="5" t="s">
        <v>195</v>
      </c>
      <c r="C23" s="19" t="str">
        <f aca="false">IFERROR(INDEX(WorkPackages!$C$5:$C$40,MATCH(B23,WorkPackages!$A$5:$A$40,0)),"")</f>
        <v>Wave 0</v>
      </c>
      <c r="D23" s="5" t="s">
        <v>317</v>
      </c>
      <c r="E23" s="5" t="s">
        <v>498</v>
      </c>
      <c r="F23" s="5" t="s">
        <v>499</v>
      </c>
      <c r="G23" s="5" t="s">
        <v>500</v>
      </c>
      <c r="H23" s="5" t="s">
        <v>501</v>
      </c>
      <c r="I23" s="5" t="s">
        <v>115</v>
      </c>
      <c r="J23" s="5" t="s">
        <v>502</v>
      </c>
      <c r="K23" s="5" t="s">
        <v>404</v>
      </c>
      <c r="L23" s="5" t="s">
        <v>185</v>
      </c>
      <c r="M23" s="4" t="s">
        <v>34</v>
      </c>
      <c r="N23" s="4" t="s">
        <v>405</v>
      </c>
      <c r="O23" s="4" t="s">
        <v>489</v>
      </c>
      <c r="P23" s="19" t="str">
        <f aca="false">IFERROR(INDEX(WorkPackages!$H$5:$H$40,MATCH(B23,WorkPackages!$A$5:$A$40,0)),"")</f>
        <v>feat/wp-00-foundation</v>
      </c>
      <c r="Q23" s="18"/>
      <c r="R23" s="18"/>
      <c r="S23" s="4" t="s">
        <v>177</v>
      </c>
      <c r="T23" s="4"/>
      <c r="U23" s="5" t="s">
        <v>177</v>
      </c>
      <c r="V23" s="5" t="s">
        <v>408</v>
      </c>
      <c r="W23" s="5"/>
      <c r="X23" s="19" t="str">
        <f aca="false">IF(W23="","—",IFERROR(IF(INDEX(BackendChecklist!$H$5:$H$30,MATCH(W23,BackendChecklist!$A$5:$A$30,0))="نعم","جاهز للبدء",IF(V23="الآن (بنمط seam)","يبدأ بنمط seam — الربط ينتظر","ينتظر الباك اند")),"؟"))</f>
        <v>—</v>
      </c>
    </row>
    <row r="24" customFormat="false" ht="34.5" hidden="false" customHeight="true" outlineLevel="0" collapsed="false">
      <c r="A24" s="17" t="s">
        <v>150</v>
      </c>
      <c r="B24" s="5" t="s">
        <v>206</v>
      </c>
      <c r="C24" s="19" t="str">
        <f aca="false">IFERROR(INDEX(WorkPackages!$C$5:$C$40,MATCH(B24,WorkPackages!$A$5:$A$40,0)),"")</f>
        <v>Wave 1</v>
      </c>
      <c r="D24" s="5" t="s">
        <v>503</v>
      </c>
      <c r="E24" s="5" t="s">
        <v>504</v>
      </c>
      <c r="F24" s="5" t="s">
        <v>146</v>
      </c>
      <c r="G24" s="5" t="s">
        <v>505</v>
      </c>
      <c r="H24" s="5" t="s">
        <v>506</v>
      </c>
      <c r="I24" s="5" t="s">
        <v>507</v>
      </c>
      <c r="J24" s="5" t="s">
        <v>195</v>
      </c>
      <c r="K24" s="5" t="s">
        <v>404</v>
      </c>
      <c r="L24" s="5" t="s">
        <v>186</v>
      </c>
      <c r="M24" s="4" t="s">
        <v>32</v>
      </c>
      <c r="N24" s="4" t="s">
        <v>405</v>
      </c>
      <c r="O24" s="4" t="s">
        <v>508</v>
      </c>
      <c r="P24" s="19" t="str">
        <f aca="false">IFERROR(INDEX(WorkPackages!$H$5:$H$40,MATCH(B24,WorkPackages!$A$5:$A$40,0)),"")</f>
        <v>feat/wp-t1-teacher-courses</v>
      </c>
      <c r="Q24" s="18"/>
      <c r="R24" s="18"/>
      <c r="S24" s="4" t="s">
        <v>177</v>
      </c>
      <c r="T24" s="4" t="s">
        <v>509</v>
      </c>
      <c r="U24" s="5" t="s">
        <v>103</v>
      </c>
      <c r="V24" s="5" t="s">
        <v>510</v>
      </c>
      <c r="W24" s="5" t="s">
        <v>145</v>
      </c>
      <c r="X24" s="19" t="str">
        <f aca="false">IF(W24="","—",IFERROR(IF(INDEX(BackendChecklist!$H$5:$H$30,MATCH(W24,BackendChecklist!$A$5:$A$30,0))="نعم","جاهز للبدء",IF(V24="الآن (بنمط seam)","يبدأ بنمط seam — الربط ينتظر","ينتظر الباك اند")),"؟"))</f>
        <v>جاهز للبدء</v>
      </c>
    </row>
    <row r="25" customFormat="false" ht="34.5" hidden="false" customHeight="true" outlineLevel="0" collapsed="false">
      <c r="A25" s="17" t="s">
        <v>511</v>
      </c>
      <c r="B25" s="5" t="s">
        <v>206</v>
      </c>
      <c r="C25" s="19" t="str">
        <f aca="false">IFERROR(INDEX(WorkPackages!$C$5:$C$40,MATCH(B25,WorkPackages!$A$5:$A$40,0)),"")</f>
        <v>Wave 1</v>
      </c>
      <c r="D25" s="5" t="s">
        <v>503</v>
      </c>
      <c r="E25" s="5" t="s">
        <v>504</v>
      </c>
      <c r="F25" s="5" t="s">
        <v>512</v>
      </c>
      <c r="G25" s="5" t="s">
        <v>513</v>
      </c>
      <c r="H25" s="5" t="s">
        <v>506</v>
      </c>
      <c r="I25" s="5" t="s">
        <v>115</v>
      </c>
      <c r="J25" s="5" t="s">
        <v>150</v>
      </c>
      <c r="K25" s="5" t="s">
        <v>514</v>
      </c>
      <c r="L25" s="5" t="s">
        <v>185</v>
      </c>
      <c r="M25" s="4" t="s">
        <v>32</v>
      </c>
      <c r="N25" s="4" t="s">
        <v>515</v>
      </c>
      <c r="O25" s="4" t="s">
        <v>516</v>
      </c>
      <c r="P25" s="19" t="str">
        <f aca="false">IFERROR(INDEX(WorkPackages!$H$5:$H$40,MATCH(B25,WorkPackages!$A$5:$A$40,0)),"")</f>
        <v>feat/wp-t1-teacher-courses</v>
      </c>
      <c r="Q25" s="18"/>
      <c r="R25" s="18"/>
      <c r="S25" s="4" t="s">
        <v>177</v>
      </c>
      <c r="T25" s="4" t="s">
        <v>517</v>
      </c>
      <c r="U25" s="5" t="s">
        <v>177</v>
      </c>
      <c r="V25" s="5" t="s">
        <v>518</v>
      </c>
      <c r="W25" s="5"/>
      <c r="X25" s="19" t="str">
        <f aca="false">IF(W25="","—",IFERROR(IF(INDEX(BackendChecklist!$H$5:$H$30,MATCH(W25,BackendChecklist!$A$5:$A$30,0))="نعم","جاهز للبدء",IF(V25="الآن (بنمط seam)","يبدأ بنمط seam — الربط ينتظر","ينتظر الباك اند")),"؟"))</f>
        <v>—</v>
      </c>
    </row>
    <row r="26" customFormat="false" ht="79.5" hidden="false" customHeight="true" outlineLevel="0" collapsed="false">
      <c r="A26" s="17" t="s">
        <v>519</v>
      </c>
      <c r="B26" s="5" t="s">
        <v>206</v>
      </c>
      <c r="C26" s="19" t="str">
        <f aca="false">IFERROR(INDEX(WorkPackages!$C$5:$C$40,MATCH(B26,WorkPackages!$A$5:$A$40,0)),"")</f>
        <v>Wave 1</v>
      </c>
      <c r="D26" s="5" t="s">
        <v>503</v>
      </c>
      <c r="E26" s="5" t="s">
        <v>504</v>
      </c>
      <c r="F26" s="5" t="s">
        <v>520</v>
      </c>
      <c r="G26" s="5" t="s">
        <v>521</v>
      </c>
      <c r="H26" s="5" t="s">
        <v>522</v>
      </c>
      <c r="I26" s="5" t="s">
        <v>523</v>
      </c>
      <c r="J26" s="5" t="s">
        <v>524</v>
      </c>
      <c r="K26" s="5" t="s">
        <v>404</v>
      </c>
      <c r="L26" s="5" t="s">
        <v>186</v>
      </c>
      <c r="M26" s="4" t="s">
        <v>32</v>
      </c>
      <c r="N26" s="4" t="s">
        <v>405</v>
      </c>
      <c r="O26" s="4" t="s">
        <v>525</v>
      </c>
      <c r="P26" s="19" t="str">
        <f aca="false">IFERROR(INDEX(WorkPackages!$H$5:$H$40,MATCH(B26,WorkPackages!$A$5:$A$40,0)),"")</f>
        <v>feat/wp-t1-teacher-courses</v>
      </c>
      <c r="Q26" s="18"/>
      <c r="R26" s="18"/>
      <c r="S26" s="4" t="s">
        <v>177</v>
      </c>
      <c r="T26" s="4" t="s">
        <v>526</v>
      </c>
      <c r="U26" s="5" t="s">
        <v>93</v>
      </c>
      <c r="V26" s="5" t="s">
        <v>518</v>
      </c>
      <c r="W26" s="5" t="s">
        <v>165</v>
      </c>
      <c r="X26" s="19" t="str">
        <f aca="false">IF(W26="","—",IFERROR(IF(INDEX(BackendChecklist!$H$5:$H$30,MATCH(W26,BackendChecklist!$A$5:$A$30,0))="نعم","جاهز للبدء",IF(V26="الآن (بنمط seam)","يبدأ بنمط seam — الربط ينتظر","ينتظر الباك اند")),"؟"))</f>
        <v>ينتظر الباك اند</v>
      </c>
    </row>
    <row r="27" customFormat="false" ht="34.5" hidden="false" customHeight="true" outlineLevel="0" collapsed="false">
      <c r="A27" s="17" t="s">
        <v>527</v>
      </c>
      <c r="B27" s="5" t="s">
        <v>206</v>
      </c>
      <c r="C27" s="19" t="str">
        <f aca="false">IFERROR(INDEX(WorkPackages!$C$5:$C$40,MATCH(B27,WorkPackages!$A$5:$A$40,0)),"")</f>
        <v>Wave 1</v>
      </c>
      <c r="D27" s="5" t="s">
        <v>528</v>
      </c>
      <c r="E27" s="5" t="s">
        <v>504</v>
      </c>
      <c r="F27" s="5" t="s">
        <v>529</v>
      </c>
      <c r="G27" s="5" t="s">
        <v>530</v>
      </c>
      <c r="H27" s="5" t="s">
        <v>522</v>
      </c>
      <c r="I27" s="5" t="s">
        <v>523</v>
      </c>
      <c r="J27" s="5" t="s">
        <v>519</v>
      </c>
      <c r="K27" s="5" t="s">
        <v>514</v>
      </c>
      <c r="L27" s="5" t="s">
        <v>185</v>
      </c>
      <c r="M27" s="4" t="s">
        <v>32</v>
      </c>
      <c r="N27" s="4" t="s">
        <v>405</v>
      </c>
      <c r="O27" s="4" t="s">
        <v>525</v>
      </c>
      <c r="P27" s="19" t="str">
        <f aca="false">IFERROR(INDEX(WorkPackages!$H$5:$H$40,MATCH(B27,WorkPackages!$A$5:$A$40,0)),"")</f>
        <v>feat/wp-t1-teacher-courses</v>
      </c>
      <c r="Q27" s="18"/>
      <c r="R27" s="18"/>
      <c r="S27" s="4" t="s">
        <v>177</v>
      </c>
      <c r="T27" s="4" t="s">
        <v>531</v>
      </c>
      <c r="U27" s="5" t="s">
        <v>93</v>
      </c>
      <c r="V27" s="5" t="s">
        <v>518</v>
      </c>
      <c r="W27" s="5" t="s">
        <v>165</v>
      </c>
      <c r="X27" s="19" t="str">
        <f aca="false">IF(W27="","—",IFERROR(IF(INDEX(BackendChecklist!$H$5:$H$30,MATCH(W27,BackendChecklist!$A$5:$A$30,0))="نعم","جاهز للبدء",IF(V27="الآن (بنمط seam)","يبدأ بنمط seam — الربط ينتظر","ينتظر الباك اند")),"؟"))</f>
        <v>ينتظر الباك اند</v>
      </c>
    </row>
    <row r="28" customFormat="false" ht="23.25" hidden="false" customHeight="true" outlineLevel="0" collapsed="false">
      <c r="A28" s="17" t="s">
        <v>524</v>
      </c>
      <c r="B28" s="5" t="s">
        <v>206</v>
      </c>
      <c r="C28" s="19" t="str">
        <f aca="false">IFERROR(INDEX(WorkPackages!$C$5:$C$40,MATCH(B28,WorkPackages!$A$5:$A$40,0)),"")</f>
        <v>Wave 1</v>
      </c>
      <c r="D28" s="5" t="s">
        <v>503</v>
      </c>
      <c r="E28" s="5" t="s">
        <v>504</v>
      </c>
      <c r="F28" s="5" t="s">
        <v>532</v>
      </c>
      <c r="G28" s="5" t="s">
        <v>533</v>
      </c>
      <c r="H28" s="5" t="s">
        <v>522</v>
      </c>
      <c r="I28" s="5" t="s">
        <v>534</v>
      </c>
      <c r="J28" s="5" t="s">
        <v>195</v>
      </c>
      <c r="K28" s="5" t="s">
        <v>404</v>
      </c>
      <c r="L28" s="5" t="s">
        <v>186</v>
      </c>
      <c r="M28" s="4" t="s">
        <v>34</v>
      </c>
      <c r="N28" s="4"/>
      <c r="O28" s="4"/>
      <c r="P28" s="19" t="str">
        <f aca="false">IFERROR(INDEX(WorkPackages!$H$5:$H$40,MATCH(B28,WorkPackages!$A$5:$A$40,0)),"")</f>
        <v>feat/wp-t1-teacher-courses</v>
      </c>
      <c r="Q28" s="18"/>
      <c r="R28" s="18"/>
      <c r="S28" s="4" t="s">
        <v>177</v>
      </c>
      <c r="T28" s="4"/>
      <c r="U28" s="5" t="s">
        <v>103</v>
      </c>
      <c r="V28" s="5" t="s">
        <v>510</v>
      </c>
      <c r="W28" s="5" t="s">
        <v>165</v>
      </c>
      <c r="X28" s="19" t="str">
        <f aca="false">IF(W28="","—",IFERROR(IF(INDEX(BackendChecklist!$H$5:$H$30,MATCH(W28,BackendChecklist!$A$5:$A$30,0))="نعم","جاهز للبدء",IF(V28="الآن (بنمط seam)","يبدأ بنمط seam — الربط ينتظر","ينتظر الباك اند")),"؟"))</f>
        <v>ينتظر الباك اند</v>
      </c>
    </row>
    <row r="29" customFormat="false" ht="23.25" hidden="false" customHeight="true" outlineLevel="0" collapsed="false">
      <c r="A29" s="17" t="s">
        <v>535</v>
      </c>
      <c r="B29" s="5" t="s">
        <v>206</v>
      </c>
      <c r="C29" s="19" t="str">
        <f aca="false">IFERROR(INDEX(WorkPackages!$C$5:$C$40,MATCH(B29,WorkPackages!$A$5:$A$40,0)),"")</f>
        <v>Wave 1</v>
      </c>
      <c r="D29" s="5" t="s">
        <v>503</v>
      </c>
      <c r="E29" s="5" t="s">
        <v>504</v>
      </c>
      <c r="F29" s="5" t="s">
        <v>536</v>
      </c>
      <c r="G29" s="5" t="s">
        <v>537</v>
      </c>
      <c r="H29" s="5" t="s">
        <v>522</v>
      </c>
      <c r="I29" s="5" t="s">
        <v>523</v>
      </c>
      <c r="J29" s="5" t="s">
        <v>519</v>
      </c>
      <c r="K29" s="5" t="s">
        <v>514</v>
      </c>
      <c r="L29" s="5" t="s">
        <v>185</v>
      </c>
      <c r="M29" s="4" t="s">
        <v>32</v>
      </c>
      <c r="N29" s="4" t="s">
        <v>405</v>
      </c>
      <c r="O29" s="4" t="s">
        <v>525</v>
      </c>
      <c r="P29" s="19" t="str">
        <f aca="false">IFERROR(INDEX(WorkPackages!$H$5:$H$40,MATCH(B29,WorkPackages!$A$5:$A$40,0)),"")</f>
        <v>feat/wp-t1-teacher-courses</v>
      </c>
      <c r="Q29" s="18"/>
      <c r="R29" s="18"/>
      <c r="S29" s="4" t="s">
        <v>177</v>
      </c>
      <c r="T29" s="4" t="s">
        <v>538</v>
      </c>
      <c r="U29" s="5" t="s">
        <v>93</v>
      </c>
      <c r="V29" s="5" t="s">
        <v>518</v>
      </c>
      <c r="W29" s="5" t="s">
        <v>165</v>
      </c>
      <c r="X29" s="19" t="str">
        <f aca="false">IF(W29="","—",IFERROR(IF(INDEX(BackendChecklist!$H$5:$H$30,MATCH(W29,BackendChecklist!$A$5:$A$30,0))="نعم","جاهز للبدء",IF(V29="الآن (بنمط seam)","يبدأ بنمط seam — الربط ينتظر","ينتظر الباك اند")),"؟"))</f>
        <v>ينتظر الباك اند</v>
      </c>
    </row>
    <row r="30" customFormat="false" ht="34.5" hidden="false" customHeight="true" outlineLevel="0" collapsed="false">
      <c r="A30" s="17" t="s">
        <v>539</v>
      </c>
      <c r="B30" s="5" t="s">
        <v>206</v>
      </c>
      <c r="C30" s="19" t="str">
        <f aca="false">IFERROR(INDEX(WorkPackages!$C$5:$C$40,MATCH(B30,WorkPackages!$A$5:$A$40,0)),"")</f>
        <v>Wave 1</v>
      </c>
      <c r="D30" s="5" t="s">
        <v>503</v>
      </c>
      <c r="E30" s="5" t="s">
        <v>504</v>
      </c>
      <c r="F30" s="5" t="s">
        <v>540</v>
      </c>
      <c r="G30" s="5" t="s">
        <v>541</v>
      </c>
      <c r="H30" s="5" t="s">
        <v>542</v>
      </c>
      <c r="I30" s="5" t="s">
        <v>543</v>
      </c>
      <c r="J30" s="5" t="s">
        <v>195</v>
      </c>
      <c r="K30" s="5" t="s">
        <v>404</v>
      </c>
      <c r="L30" s="5" t="s">
        <v>186</v>
      </c>
      <c r="M30" s="4" t="s">
        <v>31</v>
      </c>
      <c r="N30" s="4" t="s">
        <v>405</v>
      </c>
      <c r="O30" s="4" t="s">
        <v>544</v>
      </c>
      <c r="P30" s="19" t="str">
        <f aca="false">IFERROR(INDEX(WorkPackages!$H$5:$H$40,MATCH(B30,WorkPackages!$A$5:$A$40,0)),"")</f>
        <v>feat/wp-t1-teacher-courses</v>
      </c>
      <c r="Q30" s="18"/>
      <c r="R30" s="18"/>
      <c r="S30" s="4" t="s">
        <v>177</v>
      </c>
      <c r="T30" s="4" t="s">
        <v>545</v>
      </c>
      <c r="U30" s="5" t="s">
        <v>103</v>
      </c>
      <c r="V30" s="5" t="s">
        <v>510</v>
      </c>
      <c r="W30" s="5" t="s">
        <v>138</v>
      </c>
      <c r="X30" s="19" t="str">
        <f aca="false">IF(W30="","—",IFERROR(IF(INDEX(BackendChecklist!$H$5:$H$30,MATCH(W30,BackendChecklist!$A$5:$A$30,0))="نعم","جاهز للبدء",IF(V30="الآن (بنمط seam)","يبدأ بنمط seam — الربط ينتظر","ينتظر الباك اند")),"؟"))</f>
        <v>ينتظر الباك اند</v>
      </c>
    </row>
    <row r="31" customFormat="false" ht="23.25" hidden="false" customHeight="true" outlineLevel="0" collapsed="false">
      <c r="A31" s="17" t="s">
        <v>546</v>
      </c>
      <c r="B31" s="5" t="s">
        <v>206</v>
      </c>
      <c r="C31" s="19" t="str">
        <f aca="false">IFERROR(INDEX(WorkPackages!$C$5:$C$40,MATCH(B31,WorkPackages!$A$5:$A$40,0)),"")</f>
        <v>Wave 1</v>
      </c>
      <c r="D31" s="5" t="s">
        <v>503</v>
      </c>
      <c r="E31" s="5" t="s">
        <v>457</v>
      </c>
      <c r="F31" s="5" t="s">
        <v>547</v>
      </c>
      <c r="G31" s="5" t="s">
        <v>548</v>
      </c>
      <c r="H31" s="5" t="s">
        <v>549</v>
      </c>
      <c r="I31" s="5" t="s">
        <v>115</v>
      </c>
      <c r="J31" s="5" t="s">
        <v>519</v>
      </c>
      <c r="K31" s="5" t="s">
        <v>514</v>
      </c>
      <c r="L31" s="5" t="s">
        <v>185</v>
      </c>
      <c r="M31" s="4" t="s">
        <v>32</v>
      </c>
      <c r="N31" s="4" t="s">
        <v>405</v>
      </c>
      <c r="O31" s="4" t="s">
        <v>525</v>
      </c>
      <c r="P31" s="19" t="str">
        <f aca="false">IFERROR(INDEX(WorkPackages!$H$5:$H$40,MATCH(B31,WorkPackages!$A$5:$A$40,0)),"")</f>
        <v>feat/wp-t1-teacher-courses</v>
      </c>
      <c r="Q31" s="18"/>
      <c r="R31" s="18"/>
      <c r="S31" s="4" t="s">
        <v>177</v>
      </c>
      <c r="T31" s="4" t="s">
        <v>550</v>
      </c>
      <c r="U31" s="5" t="s">
        <v>93</v>
      </c>
      <c r="V31" s="5" t="s">
        <v>518</v>
      </c>
      <c r="W31" s="5"/>
      <c r="X31" s="19" t="str">
        <f aca="false">IF(W31="","—",IFERROR(IF(INDEX(BackendChecklist!$H$5:$H$30,MATCH(W31,BackendChecklist!$A$5:$A$30,0))="نعم","جاهز للبدء",IF(V31="الآن (بنمط seam)","يبدأ بنمط seam — الربط ينتظر","ينتظر الباك اند")),"؟"))</f>
        <v>—</v>
      </c>
    </row>
    <row r="32" customFormat="false" ht="57" hidden="false" customHeight="true" outlineLevel="0" collapsed="false">
      <c r="A32" s="17" t="s">
        <v>551</v>
      </c>
      <c r="B32" s="5" t="s">
        <v>212</v>
      </c>
      <c r="C32" s="19" t="str">
        <f aca="false">IFERROR(INDEX(WorkPackages!$C$5:$C$40,MATCH(B32,WorkPackages!$A$5:$A$40,0)),"")</f>
        <v>Wave 1</v>
      </c>
      <c r="D32" s="5" t="s">
        <v>552</v>
      </c>
      <c r="E32" s="5" t="s">
        <v>504</v>
      </c>
      <c r="F32" s="5" t="s">
        <v>553</v>
      </c>
      <c r="G32" s="5" t="s">
        <v>554</v>
      </c>
      <c r="H32" s="5" t="s">
        <v>555</v>
      </c>
      <c r="I32" s="5" t="s">
        <v>556</v>
      </c>
      <c r="J32" s="5" t="s">
        <v>195</v>
      </c>
      <c r="K32" s="5" t="s">
        <v>404</v>
      </c>
      <c r="L32" s="5" t="s">
        <v>186</v>
      </c>
      <c r="M32" s="4" t="s">
        <v>32</v>
      </c>
      <c r="N32" s="4" t="s">
        <v>405</v>
      </c>
      <c r="O32" s="4" t="s">
        <v>525</v>
      </c>
      <c r="P32" s="19" t="str">
        <f aca="false">IFERROR(INDEX(WorkPackages!$H$5:$H$40,MATCH(B32,WorkPackages!$A$5:$A$40,0)),"")</f>
        <v>feat/wp-t2-group-config</v>
      </c>
      <c r="Q32" s="18"/>
      <c r="R32" s="18"/>
      <c r="S32" s="4" t="s">
        <v>177</v>
      </c>
      <c r="T32" s="4" t="s">
        <v>557</v>
      </c>
      <c r="U32" s="5" t="s">
        <v>93</v>
      </c>
      <c r="V32" s="5" t="s">
        <v>518</v>
      </c>
      <c r="W32" s="5" t="s">
        <v>138</v>
      </c>
      <c r="X32" s="19" t="str">
        <f aca="false">IF(W32="","—",IFERROR(IF(INDEX(BackendChecklist!$H$5:$H$30,MATCH(W32,BackendChecklist!$A$5:$A$30,0))="نعم","جاهز للبدء",IF(V32="الآن (بنمط seam)","يبدأ بنمط seam — الربط ينتظر","ينتظر الباك اند")),"؟"))</f>
        <v>ينتظر الباك اند</v>
      </c>
    </row>
    <row r="33" customFormat="false" ht="23.25" hidden="false" customHeight="true" outlineLevel="0" collapsed="false">
      <c r="A33" s="17" t="s">
        <v>558</v>
      </c>
      <c r="B33" s="5" t="s">
        <v>212</v>
      </c>
      <c r="C33" s="19" t="str">
        <f aca="false">IFERROR(INDEX(WorkPackages!$C$5:$C$40,MATCH(B33,WorkPackages!$A$5:$A$40,0)),"")</f>
        <v>Wave 1</v>
      </c>
      <c r="D33" s="5" t="s">
        <v>559</v>
      </c>
      <c r="E33" s="5" t="s">
        <v>504</v>
      </c>
      <c r="F33" s="5" t="s">
        <v>560</v>
      </c>
      <c r="G33" s="5" t="s">
        <v>561</v>
      </c>
      <c r="H33" s="5" t="s">
        <v>555</v>
      </c>
      <c r="I33" s="5" t="s">
        <v>556</v>
      </c>
      <c r="J33" s="5" t="s">
        <v>551</v>
      </c>
      <c r="K33" s="5" t="s">
        <v>404</v>
      </c>
      <c r="L33" s="5" t="s">
        <v>185</v>
      </c>
      <c r="M33" s="4" t="s">
        <v>32</v>
      </c>
      <c r="N33" s="4" t="s">
        <v>405</v>
      </c>
      <c r="O33" s="4" t="s">
        <v>525</v>
      </c>
      <c r="P33" s="19" t="str">
        <f aca="false">IFERROR(INDEX(WorkPackages!$H$5:$H$40,MATCH(B33,WorkPackages!$A$5:$A$40,0)),"")</f>
        <v>feat/wp-t2-group-config</v>
      </c>
      <c r="Q33" s="18"/>
      <c r="R33" s="18"/>
      <c r="S33" s="4" t="s">
        <v>177</v>
      </c>
      <c r="T33" s="4" t="s">
        <v>562</v>
      </c>
      <c r="U33" s="5" t="s">
        <v>93</v>
      </c>
      <c r="V33" s="5" t="s">
        <v>518</v>
      </c>
      <c r="W33" s="5" t="s">
        <v>138</v>
      </c>
      <c r="X33" s="19" t="str">
        <f aca="false">IF(W33="","—",IFERROR(IF(INDEX(BackendChecklist!$H$5:$H$30,MATCH(W33,BackendChecklist!$A$5:$A$30,0))="نعم","جاهز للبدء",IF(V33="الآن (بنمط seam)","يبدأ بنمط seam — الربط ينتظر","ينتظر الباك اند")),"؟"))</f>
        <v>ينتظر الباك اند</v>
      </c>
    </row>
    <row r="34" customFormat="false" ht="23.25" hidden="false" customHeight="true" outlineLevel="0" collapsed="false">
      <c r="A34" s="17" t="s">
        <v>563</v>
      </c>
      <c r="B34" s="5" t="s">
        <v>212</v>
      </c>
      <c r="C34" s="19" t="str">
        <f aca="false">IFERROR(INDEX(WorkPackages!$C$5:$C$40,MATCH(B34,WorkPackages!$A$5:$A$40,0)),"")</f>
        <v>Wave 1</v>
      </c>
      <c r="D34" s="5" t="s">
        <v>552</v>
      </c>
      <c r="E34" s="5" t="s">
        <v>504</v>
      </c>
      <c r="F34" s="5" t="s">
        <v>564</v>
      </c>
      <c r="G34" s="5" t="s">
        <v>565</v>
      </c>
      <c r="H34" s="5" t="s">
        <v>555</v>
      </c>
      <c r="I34" s="5" t="s">
        <v>115</v>
      </c>
      <c r="J34" s="5" t="s">
        <v>551</v>
      </c>
      <c r="K34" s="5" t="s">
        <v>404</v>
      </c>
      <c r="L34" s="5" t="s">
        <v>185</v>
      </c>
      <c r="M34" s="4" t="s">
        <v>32</v>
      </c>
      <c r="N34" s="4" t="s">
        <v>515</v>
      </c>
      <c r="O34" s="4" t="s">
        <v>516</v>
      </c>
      <c r="P34" s="19" t="str">
        <f aca="false">IFERROR(INDEX(WorkPackages!$H$5:$H$40,MATCH(B34,WorkPackages!$A$5:$A$40,0)),"")</f>
        <v>feat/wp-t2-group-config</v>
      </c>
      <c r="Q34" s="18"/>
      <c r="R34" s="18"/>
      <c r="S34" s="4" t="s">
        <v>177</v>
      </c>
      <c r="T34" s="4" t="s">
        <v>566</v>
      </c>
      <c r="U34" s="5" t="s">
        <v>177</v>
      </c>
      <c r="V34" s="5" t="s">
        <v>518</v>
      </c>
      <c r="W34" s="5"/>
      <c r="X34" s="19" t="str">
        <f aca="false">IF(W34="","—",IFERROR(IF(INDEX(BackendChecklist!$H$5:$H$30,MATCH(W34,BackendChecklist!$A$5:$A$30,0))="نعم","جاهز للبدء",IF(V34="الآن (بنمط seam)","يبدأ بنمط seam — الربط ينتظر","ينتظر الباك اند")),"؟"))</f>
        <v>—</v>
      </c>
    </row>
    <row r="35" customFormat="false" ht="23.25" hidden="false" customHeight="true" outlineLevel="0" collapsed="false">
      <c r="A35" s="17" t="s">
        <v>567</v>
      </c>
      <c r="B35" s="5" t="s">
        <v>212</v>
      </c>
      <c r="C35" s="19" t="str">
        <f aca="false">IFERROR(INDEX(WorkPackages!$C$5:$C$40,MATCH(B35,WorkPackages!$A$5:$A$40,0)),"")</f>
        <v>Wave 1</v>
      </c>
      <c r="D35" s="5" t="s">
        <v>552</v>
      </c>
      <c r="E35" s="5" t="s">
        <v>504</v>
      </c>
      <c r="F35" s="5" t="s">
        <v>568</v>
      </c>
      <c r="G35" s="5" t="s">
        <v>569</v>
      </c>
      <c r="H35" s="5" t="s">
        <v>555</v>
      </c>
      <c r="I35" s="5" t="s">
        <v>543</v>
      </c>
      <c r="J35" s="5" t="s">
        <v>551</v>
      </c>
      <c r="K35" s="5" t="s">
        <v>514</v>
      </c>
      <c r="L35" s="5" t="s">
        <v>186</v>
      </c>
      <c r="M35" s="4" t="s">
        <v>34</v>
      </c>
      <c r="N35" s="4"/>
      <c r="O35" s="4"/>
      <c r="P35" s="19" t="str">
        <f aca="false">IFERROR(INDEX(WorkPackages!$H$5:$H$40,MATCH(B35,WorkPackages!$A$5:$A$40,0)),"")</f>
        <v>feat/wp-t2-group-config</v>
      </c>
      <c r="Q35" s="18"/>
      <c r="R35" s="18"/>
      <c r="S35" s="4" t="s">
        <v>177</v>
      </c>
      <c r="T35" s="4"/>
      <c r="U35" s="5" t="s">
        <v>103</v>
      </c>
      <c r="V35" s="5" t="s">
        <v>510</v>
      </c>
      <c r="W35" s="5" t="s">
        <v>138</v>
      </c>
      <c r="X35" s="19" t="str">
        <f aca="false">IF(W35="","—",IFERROR(IF(INDEX(BackendChecklist!$H$5:$H$30,MATCH(W35,BackendChecklist!$A$5:$A$30,0))="نعم","جاهز للبدء",IF(V35="الآن (بنمط seam)","يبدأ بنمط seam — الربط ينتظر","ينتظر الباك اند")),"؟"))</f>
        <v>ينتظر الباك اند</v>
      </c>
    </row>
    <row r="36" customFormat="false" ht="34.5" hidden="false" customHeight="true" outlineLevel="0" collapsed="false">
      <c r="A36" s="17" t="s">
        <v>570</v>
      </c>
      <c r="B36" s="5" t="s">
        <v>212</v>
      </c>
      <c r="C36" s="19" t="str">
        <f aca="false">IFERROR(INDEX(WorkPackages!$C$5:$C$40,MATCH(B36,WorkPackages!$A$5:$A$40,0)),"")</f>
        <v>Wave 1</v>
      </c>
      <c r="D36" s="5" t="s">
        <v>559</v>
      </c>
      <c r="E36" s="5" t="s">
        <v>504</v>
      </c>
      <c r="F36" s="5" t="s">
        <v>571</v>
      </c>
      <c r="G36" s="5" t="s">
        <v>572</v>
      </c>
      <c r="H36" s="5" t="s">
        <v>555</v>
      </c>
      <c r="I36" s="5" t="s">
        <v>115</v>
      </c>
      <c r="J36" s="5" t="s">
        <v>551</v>
      </c>
      <c r="K36" s="5" t="s">
        <v>404</v>
      </c>
      <c r="L36" s="5" t="s">
        <v>185</v>
      </c>
      <c r="M36" s="4" t="s">
        <v>32</v>
      </c>
      <c r="N36" s="4" t="s">
        <v>405</v>
      </c>
      <c r="O36" s="4" t="s">
        <v>525</v>
      </c>
      <c r="P36" s="19" t="str">
        <f aca="false">IFERROR(INDEX(WorkPackages!$H$5:$H$40,MATCH(B36,WorkPackages!$A$5:$A$40,0)),"")</f>
        <v>feat/wp-t2-group-config</v>
      </c>
      <c r="Q36" s="18"/>
      <c r="R36" s="18"/>
      <c r="S36" s="4" t="s">
        <v>177</v>
      </c>
      <c r="T36" s="4" t="s">
        <v>573</v>
      </c>
      <c r="U36" s="5" t="s">
        <v>93</v>
      </c>
      <c r="V36" s="5" t="s">
        <v>518</v>
      </c>
      <c r="W36" s="5" t="s">
        <v>138</v>
      </c>
      <c r="X36" s="19" t="str">
        <f aca="false">IF(W36="","—",IFERROR(IF(INDEX(BackendChecklist!$H$5:$H$30,MATCH(W36,BackendChecklist!$A$5:$A$30,0))="نعم","جاهز للبدء",IF(V36="الآن (بنمط seam)","يبدأ بنمط seam — الربط ينتظر","ينتظر الباك اند")),"؟"))</f>
        <v>ينتظر الباك اند</v>
      </c>
    </row>
    <row r="37" customFormat="false" ht="34.5" hidden="false" customHeight="true" outlineLevel="0" collapsed="false">
      <c r="A37" s="17" t="s">
        <v>574</v>
      </c>
      <c r="B37" s="5" t="s">
        <v>212</v>
      </c>
      <c r="C37" s="19" t="str">
        <f aca="false">IFERROR(INDEX(WorkPackages!$C$5:$C$40,MATCH(B37,WorkPackages!$A$5:$A$40,0)),"")</f>
        <v>Wave 1</v>
      </c>
      <c r="D37" s="5" t="s">
        <v>552</v>
      </c>
      <c r="E37" s="5" t="s">
        <v>457</v>
      </c>
      <c r="F37" s="5" t="s">
        <v>575</v>
      </c>
      <c r="G37" s="5" t="s">
        <v>576</v>
      </c>
      <c r="H37" s="5" t="s">
        <v>577</v>
      </c>
      <c r="I37" s="5" t="s">
        <v>115</v>
      </c>
      <c r="J37" s="5" t="s">
        <v>563</v>
      </c>
      <c r="K37" s="5" t="s">
        <v>514</v>
      </c>
      <c r="L37" s="5" t="s">
        <v>185</v>
      </c>
      <c r="M37" s="4" t="s">
        <v>32</v>
      </c>
      <c r="N37" s="4" t="s">
        <v>405</v>
      </c>
      <c r="O37" s="4" t="s">
        <v>525</v>
      </c>
      <c r="P37" s="19" t="str">
        <f aca="false">IFERROR(INDEX(WorkPackages!$H$5:$H$40,MATCH(B37,WorkPackages!$A$5:$A$40,0)),"")</f>
        <v>feat/wp-t2-group-config</v>
      </c>
      <c r="Q37" s="18"/>
      <c r="R37" s="18"/>
      <c r="S37" s="4" t="s">
        <v>177</v>
      </c>
      <c r="T37" s="4" t="s">
        <v>578</v>
      </c>
      <c r="U37" s="5" t="s">
        <v>93</v>
      </c>
      <c r="V37" s="5" t="s">
        <v>518</v>
      </c>
      <c r="W37" s="5" t="s">
        <v>138</v>
      </c>
      <c r="X37" s="19" t="str">
        <f aca="false">IF(W37="","—",IFERROR(IF(INDEX(BackendChecklist!$H$5:$H$30,MATCH(W37,BackendChecklist!$A$5:$A$30,0))="نعم","جاهز للبدء",IF(V37="الآن (بنمط seam)","يبدأ بنمط seam — الربط ينتظر","ينتظر الباك اند")),"؟"))</f>
        <v>ينتظر الباك اند</v>
      </c>
    </row>
    <row r="38" customFormat="false" ht="23.25" hidden="false" customHeight="true" outlineLevel="0" collapsed="false">
      <c r="A38" s="17" t="s">
        <v>579</v>
      </c>
      <c r="B38" s="5" t="s">
        <v>214</v>
      </c>
      <c r="C38" s="19" t="str">
        <f aca="false">IFERROR(INDEX(WorkPackages!$C$5:$C$40,MATCH(B38,WorkPackages!$A$5:$A$40,0)),"")</f>
        <v>Wave 1</v>
      </c>
      <c r="D38" s="5" t="s">
        <v>331</v>
      </c>
      <c r="E38" s="5" t="s">
        <v>504</v>
      </c>
      <c r="F38" s="5" t="s">
        <v>580</v>
      </c>
      <c r="G38" s="5" t="s">
        <v>581</v>
      </c>
      <c r="H38" s="5" t="s">
        <v>582</v>
      </c>
      <c r="I38" s="5" t="s">
        <v>583</v>
      </c>
      <c r="J38" s="5" t="s">
        <v>195</v>
      </c>
      <c r="K38" s="5" t="s">
        <v>404</v>
      </c>
      <c r="L38" s="5" t="s">
        <v>185</v>
      </c>
      <c r="M38" s="4" t="s">
        <v>33</v>
      </c>
      <c r="N38" s="4" t="s">
        <v>405</v>
      </c>
      <c r="O38" s="4" t="s">
        <v>544</v>
      </c>
      <c r="P38" s="19" t="str">
        <f aca="false">IFERROR(INDEX(WorkPackages!$H$5:$H$40,MATCH(B38,WorkPackages!$A$5:$A$40,0)),"")</f>
        <v>feat/wp-t3-group-students</v>
      </c>
      <c r="Q38" s="18"/>
      <c r="R38" s="18"/>
      <c r="S38" s="4" t="s">
        <v>177</v>
      </c>
      <c r="T38" s="4" t="s">
        <v>584</v>
      </c>
      <c r="U38" s="5" t="s">
        <v>103</v>
      </c>
      <c r="V38" s="5" t="s">
        <v>510</v>
      </c>
      <c r="W38" s="5" t="s">
        <v>152</v>
      </c>
      <c r="X38" s="19" t="str">
        <f aca="false">IF(W38="","—",IFERROR(IF(INDEX(BackendChecklist!$H$5:$H$30,MATCH(W38,BackendChecklist!$A$5:$A$30,0))="نعم","جاهز للبدء",IF(V38="الآن (بنمط seam)","يبدأ بنمط seam — الربط ينتظر","ينتظر الباك اند")),"؟"))</f>
        <v>ينتظر الباك اند</v>
      </c>
    </row>
    <row r="39" customFormat="false" ht="15" hidden="false" customHeight="true" outlineLevel="0" collapsed="false">
      <c r="A39" s="17" t="s">
        <v>585</v>
      </c>
      <c r="B39" s="5" t="s">
        <v>214</v>
      </c>
      <c r="C39" s="19" t="str">
        <f aca="false">IFERROR(INDEX(WorkPackages!$C$5:$C$40,MATCH(B39,WorkPackages!$A$5:$A$40,0)),"")</f>
        <v>Wave 1</v>
      </c>
      <c r="D39" s="5" t="s">
        <v>331</v>
      </c>
      <c r="E39" s="5" t="s">
        <v>504</v>
      </c>
      <c r="F39" s="5" t="s">
        <v>586</v>
      </c>
      <c r="G39" s="5" t="s">
        <v>587</v>
      </c>
      <c r="H39" s="5" t="s">
        <v>582</v>
      </c>
      <c r="I39" s="5" t="s">
        <v>583</v>
      </c>
      <c r="J39" s="5" t="s">
        <v>579</v>
      </c>
      <c r="K39" s="5" t="s">
        <v>514</v>
      </c>
      <c r="L39" s="5" t="s">
        <v>185</v>
      </c>
      <c r="M39" s="4" t="s">
        <v>33</v>
      </c>
      <c r="N39" s="4" t="s">
        <v>405</v>
      </c>
      <c r="O39" s="4" t="s">
        <v>544</v>
      </c>
      <c r="P39" s="19" t="str">
        <f aca="false">IFERROR(INDEX(WorkPackages!$H$5:$H$40,MATCH(B39,WorkPackages!$A$5:$A$40,0)),"")</f>
        <v>feat/wp-t3-group-students</v>
      </c>
      <c r="Q39" s="18"/>
      <c r="R39" s="18"/>
      <c r="S39" s="4" t="s">
        <v>177</v>
      </c>
      <c r="T39" s="4" t="s">
        <v>584</v>
      </c>
      <c r="U39" s="5" t="s">
        <v>103</v>
      </c>
      <c r="V39" s="5" t="s">
        <v>510</v>
      </c>
      <c r="W39" s="5" t="s">
        <v>152</v>
      </c>
      <c r="X39" s="19" t="str">
        <f aca="false">IF(W39="","—",IFERROR(IF(INDEX(BackendChecklist!$H$5:$H$30,MATCH(W39,BackendChecklist!$A$5:$A$30,0))="نعم","جاهز للبدء",IF(V39="الآن (بنمط seam)","يبدأ بنمط seam — الربط ينتظر","ينتظر الباك اند")),"؟"))</f>
        <v>ينتظر الباك اند</v>
      </c>
    </row>
    <row r="40" customFormat="false" ht="15" hidden="false" customHeight="true" outlineLevel="0" collapsed="false">
      <c r="A40" s="17" t="s">
        <v>588</v>
      </c>
      <c r="B40" s="5" t="s">
        <v>214</v>
      </c>
      <c r="C40" s="19" t="str">
        <f aca="false">IFERROR(INDEX(WorkPackages!$C$5:$C$40,MATCH(B40,WorkPackages!$A$5:$A$40,0)),"")</f>
        <v>Wave 1</v>
      </c>
      <c r="D40" s="5" t="s">
        <v>331</v>
      </c>
      <c r="E40" s="5" t="s">
        <v>504</v>
      </c>
      <c r="F40" s="5" t="s">
        <v>589</v>
      </c>
      <c r="G40" s="5" t="s">
        <v>590</v>
      </c>
      <c r="H40" s="5" t="s">
        <v>582</v>
      </c>
      <c r="I40" s="5" t="s">
        <v>115</v>
      </c>
      <c r="J40" s="5" t="s">
        <v>579</v>
      </c>
      <c r="K40" s="5" t="s">
        <v>404</v>
      </c>
      <c r="L40" s="5" t="s">
        <v>185</v>
      </c>
      <c r="M40" s="4" t="s">
        <v>33</v>
      </c>
      <c r="N40" s="4" t="s">
        <v>405</v>
      </c>
      <c r="O40" s="4" t="s">
        <v>544</v>
      </c>
      <c r="P40" s="19" t="str">
        <f aca="false">IFERROR(INDEX(WorkPackages!$H$5:$H$40,MATCH(B40,WorkPackages!$A$5:$A$40,0)),"")</f>
        <v>feat/wp-t3-group-students</v>
      </c>
      <c r="Q40" s="18"/>
      <c r="R40" s="18"/>
      <c r="S40" s="4" t="s">
        <v>177</v>
      </c>
      <c r="T40" s="4" t="s">
        <v>584</v>
      </c>
      <c r="U40" s="5" t="s">
        <v>103</v>
      </c>
      <c r="V40" s="5" t="s">
        <v>510</v>
      </c>
      <c r="W40" s="5" t="s">
        <v>152</v>
      </c>
      <c r="X40" s="19" t="str">
        <f aca="false">IF(W40="","—",IFERROR(IF(INDEX(BackendChecklist!$H$5:$H$30,MATCH(W40,BackendChecklist!$A$5:$A$30,0))="نعم","جاهز للبدء",IF(V40="الآن (بنمط seam)","يبدأ بنمط seam — الربط ينتظر","ينتظر الباك اند")),"؟"))</f>
        <v>ينتظر الباك اند</v>
      </c>
    </row>
    <row r="41" customFormat="false" ht="15" hidden="false" customHeight="true" outlineLevel="0" collapsed="false">
      <c r="A41" s="17" t="s">
        <v>591</v>
      </c>
      <c r="B41" s="5" t="s">
        <v>214</v>
      </c>
      <c r="C41" s="19" t="str">
        <f aca="false">IFERROR(INDEX(WorkPackages!$C$5:$C$40,MATCH(B41,WorkPackages!$A$5:$A$40,0)),"")</f>
        <v>Wave 1</v>
      </c>
      <c r="D41" s="5" t="s">
        <v>331</v>
      </c>
      <c r="E41" s="5" t="s">
        <v>504</v>
      </c>
      <c r="F41" s="5" t="s">
        <v>592</v>
      </c>
      <c r="G41" s="5" t="s">
        <v>593</v>
      </c>
      <c r="H41" s="5" t="s">
        <v>582</v>
      </c>
      <c r="I41" s="5" t="s">
        <v>115</v>
      </c>
      <c r="J41" s="5" t="s">
        <v>579</v>
      </c>
      <c r="K41" s="5" t="s">
        <v>514</v>
      </c>
      <c r="L41" s="5" t="s">
        <v>185</v>
      </c>
      <c r="M41" s="4" t="s">
        <v>34</v>
      </c>
      <c r="N41" s="4"/>
      <c r="O41" s="4"/>
      <c r="P41" s="19" t="str">
        <f aca="false">IFERROR(INDEX(WorkPackages!$H$5:$H$40,MATCH(B41,WorkPackages!$A$5:$A$40,0)),"")</f>
        <v>feat/wp-t3-group-students</v>
      </c>
      <c r="Q41" s="18"/>
      <c r="R41" s="18"/>
      <c r="S41" s="4" t="s">
        <v>177</v>
      </c>
      <c r="T41" s="4"/>
      <c r="U41" s="5" t="s">
        <v>103</v>
      </c>
      <c r="V41" s="5" t="s">
        <v>510</v>
      </c>
      <c r="W41" s="5" t="s">
        <v>152</v>
      </c>
      <c r="X41" s="19" t="str">
        <f aca="false">IF(W41="","—",IFERROR(IF(INDEX(BackendChecklist!$H$5:$H$30,MATCH(W41,BackendChecklist!$A$5:$A$30,0))="نعم","جاهز للبدء",IF(V41="الآن (بنمط seam)","يبدأ بنمط seam — الربط ينتظر","ينتظر الباك اند")),"؟"))</f>
        <v>ينتظر الباك اند</v>
      </c>
    </row>
    <row r="42" customFormat="false" ht="23.25" hidden="false" customHeight="true" outlineLevel="0" collapsed="false">
      <c r="A42" s="17" t="s">
        <v>594</v>
      </c>
      <c r="B42" s="5" t="s">
        <v>216</v>
      </c>
      <c r="C42" s="19" t="str">
        <f aca="false">IFERROR(INDEX(WorkPackages!$C$5:$C$40,MATCH(B42,WorkPackages!$A$5:$A$40,0)),"")</f>
        <v>Wave 1</v>
      </c>
      <c r="D42" s="5" t="s">
        <v>595</v>
      </c>
      <c r="E42" s="5" t="s">
        <v>504</v>
      </c>
      <c r="F42" s="5" t="s">
        <v>596</v>
      </c>
      <c r="G42" s="5" t="s">
        <v>597</v>
      </c>
      <c r="H42" s="5" t="s">
        <v>598</v>
      </c>
      <c r="I42" s="5" t="s">
        <v>599</v>
      </c>
      <c r="J42" s="5" t="s">
        <v>195</v>
      </c>
      <c r="K42" s="5" t="s">
        <v>404</v>
      </c>
      <c r="L42" s="5" t="s">
        <v>186</v>
      </c>
      <c r="M42" s="4" t="s">
        <v>32</v>
      </c>
      <c r="N42" s="4" t="s">
        <v>405</v>
      </c>
      <c r="O42" s="4" t="s">
        <v>600</v>
      </c>
      <c r="P42" s="19" t="str">
        <f aca="false">IFERROR(INDEX(WorkPackages!$H$5:$H$40,MATCH(B42,WorkPackages!$A$5:$A$40,0)),"")</f>
        <v>feat/wp-t4-lessons</v>
      </c>
      <c r="Q42" s="18"/>
      <c r="R42" s="18"/>
      <c r="S42" s="4" t="s">
        <v>177</v>
      </c>
      <c r="T42" s="4" t="s">
        <v>601</v>
      </c>
      <c r="U42" s="5" t="s">
        <v>103</v>
      </c>
      <c r="V42" s="5" t="s">
        <v>510</v>
      </c>
      <c r="W42" s="5" t="s">
        <v>159</v>
      </c>
      <c r="X42" s="19" t="str">
        <f aca="false">IF(W42="","—",IFERROR(IF(INDEX(BackendChecklist!$H$5:$H$30,MATCH(W42,BackendChecklist!$A$5:$A$30,0))="نعم","جاهز للبدء",IF(V42="الآن (بنمط seam)","يبدأ بنمط seam — الربط ينتظر","ينتظر الباك اند")),"؟"))</f>
        <v>جاهز للبدء</v>
      </c>
    </row>
    <row r="43" customFormat="false" ht="23.25" hidden="false" customHeight="true" outlineLevel="0" collapsed="false">
      <c r="A43" s="17" t="s">
        <v>602</v>
      </c>
      <c r="B43" s="5" t="s">
        <v>216</v>
      </c>
      <c r="C43" s="19" t="str">
        <f aca="false">IFERROR(INDEX(WorkPackages!$C$5:$C$40,MATCH(B43,WorkPackages!$A$5:$A$40,0)),"")</f>
        <v>Wave 1</v>
      </c>
      <c r="D43" s="5" t="s">
        <v>603</v>
      </c>
      <c r="E43" s="5" t="s">
        <v>504</v>
      </c>
      <c r="F43" s="5" t="s">
        <v>604</v>
      </c>
      <c r="G43" s="5" t="s">
        <v>605</v>
      </c>
      <c r="H43" s="5" t="s">
        <v>606</v>
      </c>
      <c r="I43" s="5" t="s">
        <v>607</v>
      </c>
      <c r="J43" s="5" t="s">
        <v>594</v>
      </c>
      <c r="K43" s="5" t="s">
        <v>404</v>
      </c>
      <c r="L43" s="5" t="s">
        <v>186</v>
      </c>
      <c r="M43" s="4" t="s">
        <v>32</v>
      </c>
      <c r="N43" s="4" t="s">
        <v>515</v>
      </c>
      <c r="O43" s="4" t="s">
        <v>516</v>
      </c>
      <c r="P43" s="19" t="str">
        <f aca="false">IFERROR(INDEX(WorkPackages!$H$5:$H$40,MATCH(B43,WorkPackages!$A$5:$A$40,0)),"")</f>
        <v>feat/wp-t4-lessons</v>
      </c>
      <c r="Q43" s="18"/>
      <c r="R43" s="18"/>
      <c r="S43" s="4" t="s">
        <v>177</v>
      </c>
      <c r="T43" s="4" t="s">
        <v>566</v>
      </c>
      <c r="U43" s="5" t="s">
        <v>177</v>
      </c>
      <c r="V43" s="5" t="s">
        <v>518</v>
      </c>
      <c r="W43" s="5"/>
      <c r="X43" s="19" t="str">
        <f aca="false">IF(W43="","—",IFERROR(IF(INDEX(BackendChecklist!$H$5:$H$30,MATCH(W43,BackendChecklist!$A$5:$A$30,0))="نعم","جاهز للبدء",IF(V43="الآن (بنمط seam)","يبدأ بنمط seam — الربط ينتظر","ينتظر الباك اند")),"؟"))</f>
        <v>—</v>
      </c>
    </row>
    <row r="44" customFormat="false" ht="23.25" hidden="false" customHeight="true" outlineLevel="0" collapsed="false">
      <c r="A44" s="17" t="s">
        <v>608</v>
      </c>
      <c r="B44" s="5" t="s">
        <v>216</v>
      </c>
      <c r="C44" s="19" t="str">
        <f aca="false">IFERROR(INDEX(WorkPackages!$C$5:$C$40,MATCH(B44,WorkPackages!$A$5:$A$40,0)),"")</f>
        <v>Wave 1</v>
      </c>
      <c r="D44" s="5" t="s">
        <v>609</v>
      </c>
      <c r="E44" s="5" t="s">
        <v>504</v>
      </c>
      <c r="F44" s="5" t="s">
        <v>610</v>
      </c>
      <c r="G44" s="5" t="s">
        <v>611</v>
      </c>
      <c r="H44" s="5" t="s">
        <v>606</v>
      </c>
      <c r="I44" s="5" t="s">
        <v>607</v>
      </c>
      <c r="J44" s="5" t="s">
        <v>602</v>
      </c>
      <c r="K44" s="5" t="s">
        <v>404</v>
      </c>
      <c r="L44" s="5" t="s">
        <v>186</v>
      </c>
      <c r="M44" s="4" t="s">
        <v>32</v>
      </c>
      <c r="N44" s="4" t="s">
        <v>515</v>
      </c>
      <c r="O44" s="4" t="s">
        <v>516</v>
      </c>
      <c r="P44" s="19" t="str">
        <f aca="false">IFERROR(INDEX(WorkPackages!$H$5:$H$40,MATCH(B44,WorkPackages!$A$5:$A$40,0)),"")</f>
        <v>feat/wp-t4-lessons</v>
      </c>
      <c r="Q44" s="18"/>
      <c r="R44" s="18"/>
      <c r="S44" s="4" t="s">
        <v>177</v>
      </c>
      <c r="T44" s="4" t="s">
        <v>566</v>
      </c>
      <c r="U44" s="5" t="s">
        <v>177</v>
      </c>
      <c r="V44" s="5" t="s">
        <v>518</v>
      </c>
      <c r="W44" s="5"/>
      <c r="X44" s="19" t="str">
        <f aca="false">IF(W44="","—",IFERROR(IF(INDEX(BackendChecklist!$H$5:$H$30,MATCH(W44,BackendChecklist!$A$5:$A$30,0))="نعم","جاهز للبدء",IF(V44="الآن (بنمط seam)","يبدأ بنمط seam — الربط ينتظر","ينتظر الباك اند")),"؟"))</f>
        <v>—</v>
      </c>
    </row>
    <row r="45" customFormat="false" ht="23.25" hidden="false" customHeight="true" outlineLevel="0" collapsed="false">
      <c r="A45" s="17" t="s">
        <v>612</v>
      </c>
      <c r="B45" s="5" t="s">
        <v>216</v>
      </c>
      <c r="C45" s="19" t="str">
        <f aca="false">IFERROR(INDEX(WorkPackages!$C$5:$C$40,MATCH(B45,WorkPackages!$A$5:$A$40,0)),"")</f>
        <v>Wave 1</v>
      </c>
      <c r="D45" s="5" t="s">
        <v>613</v>
      </c>
      <c r="E45" s="5" t="s">
        <v>504</v>
      </c>
      <c r="F45" s="5" t="s">
        <v>614</v>
      </c>
      <c r="G45" s="5" t="s">
        <v>615</v>
      </c>
      <c r="H45" s="5" t="s">
        <v>606</v>
      </c>
      <c r="I45" s="5" t="s">
        <v>616</v>
      </c>
      <c r="J45" s="5" t="s">
        <v>602</v>
      </c>
      <c r="K45" s="5" t="s">
        <v>514</v>
      </c>
      <c r="L45" s="5" t="s">
        <v>185</v>
      </c>
      <c r="M45" s="4" t="s">
        <v>32</v>
      </c>
      <c r="N45" s="4" t="s">
        <v>515</v>
      </c>
      <c r="O45" s="4" t="s">
        <v>617</v>
      </c>
      <c r="P45" s="19" t="str">
        <f aca="false">IFERROR(INDEX(WorkPackages!$H$5:$H$40,MATCH(B45,WorkPackages!$A$5:$A$40,0)),"")</f>
        <v>feat/wp-t4-lessons</v>
      </c>
      <c r="Q45" s="18"/>
      <c r="R45" s="18"/>
      <c r="S45" s="4" t="s">
        <v>177</v>
      </c>
      <c r="T45" s="4" t="s">
        <v>618</v>
      </c>
      <c r="U45" s="5" t="s">
        <v>177</v>
      </c>
      <c r="V45" s="5" t="s">
        <v>518</v>
      </c>
      <c r="W45" s="5"/>
      <c r="X45" s="19" t="str">
        <f aca="false">IF(W45="","—",IFERROR(IF(INDEX(BackendChecklist!$H$5:$H$30,MATCH(W45,BackendChecklist!$A$5:$A$30,0))="نعم","جاهز للبدء",IF(V45="الآن (بنمط seam)","يبدأ بنمط seam — الربط ينتظر","ينتظر الباك اند")),"؟"))</f>
        <v>—</v>
      </c>
    </row>
    <row r="46" customFormat="false" ht="57" hidden="false" customHeight="true" outlineLevel="0" collapsed="false">
      <c r="A46" s="17" t="s">
        <v>619</v>
      </c>
      <c r="B46" s="5" t="s">
        <v>216</v>
      </c>
      <c r="C46" s="19" t="str">
        <f aca="false">IFERROR(INDEX(WorkPackages!$C$5:$C$40,MATCH(B46,WorkPackages!$A$5:$A$40,0)),"")</f>
        <v>Wave 1</v>
      </c>
      <c r="D46" s="5" t="s">
        <v>620</v>
      </c>
      <c r="E46" s="5" t="s">
        <v>504</v>
      </c>
      <c r="F46" s="5" t="s">
        <v>621</v>
      </c>
      <c r="G46" s="5" t="s">
        <v>622</v>
      </c>
      <c r="H46" s="5" t="s">
        <v>598</v>
      </c>
      <c r="I46" s="5" t="s">
        <v>623</v>
      </c>
      <c r="J46" s="5" t="s">
        <v>608</v>
      </c>
      <c r="K46" s="5" t="s">
        <v>514</v>
      </c>
      <c r="L46" s="5" t="s">
        <v>185</v>
      </c>
      <c r="M46" s="4" t="s">
        <v>32</v>
      </c>
      <c r="N46" s="4" t="s">
        <v>405</v>
      </c>
      <c r="O46" s="4" t="s">
        <v>525</v>
      </c>
      <c r="P46" s="19" t="str">
        <f aca="false">IFERROR(INDEX(WorkPackages!$H$5:$H$40,MATCH(B46,WorkPackages!$A$5:$A$40,0)),"")</f>
        <v>feat/wp-t4-lessons</v>
      </c>
      <c r="Q46" s="18"/>
      <c r="R46" s="18"/>
      <c r="S46" s="4" t="s">
        <v>177</v>
      </c>
      <c r="T46" s="4" t="s">
        <v>624</v>
      </c>
      <c r="U46" s="5" t="s">
        <v>93</v>
      </c>
      <c r="V46" s="5" t="s">
        <v>518</v>
      </c>
      <c r="W46" s="5" t="s">
        <v>159</v>
      </c>
      <c r="X46" s="19" t="str">
        <f aca="false">IF(W46="","—",IFERROR(IF(INDEX(BackendChecklist!$H$5:$H$30,MATCH(W46,BackendChecklist!$A$5:$A$30,0))="نعم","جاهز للبدء",IF(V46="الآن (بنمط seam)","يبدأ بنمط seam — الربط ينتظر","ينتظر الباك اند")),"؟"))</f>
        <v>جاهز للبدء</v>
      </c>
    </row>
    <row r="47" customFormat="false" ht="23.25" hidden="false" customHeight="true" outlineLevel="0" collapsed="false">
      <c r="A47" s="17" t="s">
        <v>625</v>
      </c>
      <c r="B47" s="5" t="s">
        <v>216</v>
      </c>
      <c r="C47" s="19" t="str">
        <f aca="false">IFERROR(INDEX(WorkPackages!$C$5:$C$40,MATCH(B47,WorkPackages!$A$5:$A$40,0)),"")</f>
        <v>Wave 1</v>
      </c>
      <c r="D47" s="5" t="s">
        <v>626</v>
      </c>
      <c r="E47" s="5" t="s">
        <v>504</v>
      </c>
      <c r="F47" s="5" t="s">
        <v>627</v>
      </c>
      <c r="G47" s="5" t="s">
        <v>628</v>
      </c>
      <c r="H47" s="5" t="s">
        <v>629</v>
      </c>
      <c r="I47" s="5" t="s">
        <v>630</v>
      </c>
      <c r="J47" s="5" t="s">
        <v>594</v>
      </c>
      <c r="K47" s="5" t="s">
        <v>514</v>
      </c>
      <c r="L47" s="5" t="s">
        <v>185</v>
      </c>
      <c r="M47" s="4" t="s">
        <v>32</v>
      </c>
      <c r="N47" s="4" t="s">
        <v>515</v>
      </c>
      <c r="O47" s="4" t="s">
        <v>516</v>
      </c>
      <c r="P47" s="19" t="str">
        <f aca="false">IFERROR(INDEX(WorkPackages!$H$5:$H$40,MATCH(B47,WorkPackages!$A$5:$A$40,0)),"")</f>
        <v>feat/wp-t4-lessons</v>
      </c>
      <c r="Q47" s="18"/>
      <c r="R47" s="18"/>
      <c r="S47" s="4" t="s">
        <v>177</v>
      </c>
      <c r="T47" s="4" t="s">
        <v>566</v>
      </c>
      <c r="U47" s="5" t="s">
        <v>177</v>
      </c>
      <c r="V47" s="5" t="s">
        <v>518</v>
      </c>
      <c r="W47" s="5"/>
      <c r="X47" s="19" t="str">
        <f aca="false">IF(W47="","—",IFERROR(IF(INDEX(BackendChecklist!$H$5:$H$30,MATCH(W47,BackendChecklist!$A$5:$A$30,0))="نعم","جاهز للبدء",IF(V47="الآن (بنمط seam)","يبدأ بنمط seam — الربط ينتظر","ينتظر الباك اند")),"؟"))</f>
        <v>—</v>
      </c>
    </row>
    <row r="48" customFormat="false" ht="23.25" hidden="false" customHeight="true" outlineLevel="0" collapsed="false">
      <c r="A48" s="17" t="s">
        <v>631</v>
      </c>
      <c r="B48" s="5" t="s">
        <v>216</v>
      </c>
      <c r="C48" s="19" t="str">
        <f aca="false">IFERROR(INDEX(WorkPackages!$C$5:$C$40,MATCH(B48,WorkPackages!$A$5:$A$40,0)),"")</f>
        <v>Wave 1</v>
      </c>
      <c r="D48" s="5" t="s">
        <v>603</v>
      </c>
      <c r="E48" s="5" t="s">
        <v>504</v>
      </c>
      <c r="F48" s="5" t="s">
        <v>632</v>
      </c>
      <c r="G48" s="5" t="s">
        <v>633</v>
      </c>
      <c r="H48" s="5" t="s">
        <v>606</v>
      </c>
      <c r="I48" s="5" t="s">
        <v>115</v>
      </c>
      <c r="J48" s="5" t="s">
        <v>602</v>
      </c>
      <c r="K48" s="5" t="s">
        <v>404</v>
      </c>
      <c r="L48" s="5" t="s">
        <v>185</v>
      </c>
      <c r="M48" s="4" t="s">
        <v>32</v>
      </c>
      <c r="N48" s="4" t="s">
        <v>515</v>
      </c>
      <c r="O48" s="4" t="s">
        <v>516</v>
      </c>
      <c r="P48" s="19" t="str">
        <f aca="false">IFERROR(INDEX(WorkPackages!$H$5:$H$40,MATCH(B48,WorkPackages!$A$5:$A$40,0)),"")</f>
        <v>feat/wp-t4-lessons</v>
      </c>
      <c r="Q48" s="18"/>
      <c r="R48" s="18"/>
      <c r="S48" s="4" t="s">
        <v>177</v>
      </c>
      <c r="T48" s="4" t="s">
        <v>566</v>
      </c>
      <c r="U48" s="5" t="s">
        <v>177</v>
      </c>
      <c r="V48" s="5" t="s">
        <v>518</v>
      </c>
      <c r="W48" s="5"/>
      <c r="X48" s="19" t="str">
        <f aca="false">IF(W48="","—",IFERROR(IF(INDEX(BackendChecklist!$H$5:$H$30,MATCH(W48,BackendChecklist!$A$5:$A$30,0))="نعم","جاهز للبدء",IF(V48="الآن (بنمط seam)","يبدأ بنمط seam — الربط ينتظر","ينتظر الباك اند")),"؟"))</f>
        <v>—</v>
      </c>
    </row>
    <row r="49" customFormat="false" ht="23.25" hidden="false" customHeight="true" outlineLevel="0" collapsed="false">
      <c r="A49" s="17" t="s">
        <v>634</v>
      </c>
      <c r="B49" s="5" t="s">
        <v>216</v>
      </c>
      <c r="C49" s="19" t="str">
        <f aca="false">IFERROR(INDEX(WorkPackages!$C$5:$C$40,MATCH(B49,WorkPackages!$A$5:$A$40,0)),"")</f>
        <v>Wave 1</v>
      </c>
      <c r="D49" s="5" t="s">
        <v>609</v>
      </c>
      <c r="E49" s="5" t="s">
        <v>457</v>
      </c>
      <c r="F49" s="5" t="s">
        <v>635</v>
      </c>
      <c r="G49" s="5" t="s">
        <v>636</v>
      </c>
      <c r="H49" s="5" t="s">
        <v>637</v>
      </c>
      <c r="I49" s="5" t="s">
        <v>115</v>
      </c>
      <c r="J49" s="5" t="s">
        <v>608</v>
      </c>
      <c r="K49" s="5" t="s">
        <v>514</v>
      </c>
      <c r="L49" s="5" t="s">
        <v>185</v>
      </c>
      <c r="M49" s="4" t="s">
        <v>32</v>
      </c>
      <c r="N49" s="4" t="s">
        <v>515</v>
      </c>
      <c r="O49" s="4" t="s">
        <v>516</v>
      </c>
      <c r="P49" s="19" t="str">
        <f aca="false">IFERROR(INDEX(WorkPackages!$H$5:$H$40,MATCH(B49,WorkPackages!$A$5:$A$40,0)),"")</f>
        <v>feat/wp-t4-lessons</v>
      </c>
      <c r="Q49" s="18"/>
      <c r="R49" s="18"/>
      <c r="S49" s="4" t="s">
        <v>177</v>
      </c>
      <c r="T49" s="4" t="s">
        <v>566</v>
      </c>
      <c r="U49" s="5" t="s">
        <v>177</v>
      </c>
      <c r="V49" s="5" t="s">
        <v>518</v>
      </c>
      <c r="W49" s="5"/>
      <c r="X49" s="19" t="str">
        <f aca="false">IF(W49="","—",IFERROR(IF(INDEX(BackendChecklist!$H$5:$H$30,MATCH(W49,BackendChecklist!$A$5:$A$30,0))="نعم","جاهز للبدء",IF(V49="الآن (بنمط seam)","يبدأ بنمط seam — الربط ينتظر","ينتظر الباك اند")),"؟"))</f>
        <v>—</v>
      </c>
    </row>
    <row r="50" customFormat="false" ht="23.25" hidden="false" customHeight="true" outlineLevel="0" collapsed="false">
      <c r="A50" s="17" t="s">
        <v>638</v>
      </c>
      <c r="B50" s="5" t="s">
        <v>218</v>
      </c>
      <c r="C50" s="19" t="str">
        <f aca="false">IFERROR(INDEX(WorkPackages!$C$5:$C$40,MATCH(B50,WorkPackages!$A$5:$A$40,0)),"")</f>
        <v>Wave 1</v>
      </c>
      <c r="D50" s="5" t="s">
        <v>639</v>
      </c>
      <c r="E50" s="5" t="s">
        <v>504</v>
      </c>
      <c r="F50" s="5" t="s">
        <v>640</v>
      </c>
      <c r="G50" s="5" t="s">
        <v>641</v>
      </c>
      <c r="H50" s="5" t="s">
        <v>642</v>
      </c>
      <c r="I50" s="5" t="s">
        <v>643</v>
      </c>
      <c r="J50" s="5" t="s">
        <v>195</v>
      </c>
      <c r="K50" s="5" t="s">
        <v>404</v>
      </c>
      <c r="L50" s="5" t="s">
        <v>186</v>
      </c>
      <c r="M50" s="4" t="s">
        <v>32</v>
      </c>
      <c r="N50" s="4" t="s">
        <v>405</v>
      </c>
      <c r="O50" s="4" t="s">
        <v>644</v>
      </c>
      <c r="P50" s="19" t="str">
        <f aca="false">IFERROR(INDEX(WorkPackages!$H$5:$H$40,MATCH(B50,WorkPackages!$A$5:$A$40,0)),"")</f>
        <v>feat/wp-t5-teacher-bookings</v>
      </c>
      <c r="Q50" s="18"/>
      <c r="R50" s="18"/>
      <c r="S50" s="4" t="s">
        <v>177</v>
      </c>
      <c r="T50" s="4" t="s">
        <v>645</v>
      </c>
      <c r="U50" s="5" t="s">
        <v>103</v>
      </c>
      <c r="V50" s="5" t="s">
        <v>510</v>
      </c>
      <c r="W50" s="5" t="s">
        <v>86</v>
      </c>
      <c r="X50" s="19" t="str">
        <f aca="false">IF(W50="","—",IFERROR(IF(INDEX(BackendChecklist!$H$5:$H$30,MATCH(W50,BackendChecklist!$A$5:$A$30,0))="نعم","جاهز للبدء",IF(V50="الآن (بنمط seam)","يبدأ بنمط seam — الربط ينتظر","ينتظر الباك اند")),"؟"))</f>
        <v>ينتظر الباك اند</v>
      </c>
    </row>
    <row r="51" customFormat="false" ht="57" hidden="false" customHeight="true" outlineLevel="0" collapsed="false">
      <c r="A51" s="17" t="s">
        <v>646</v>
      </c>
      <c r="B51" s="5" t="s">
        <v>218</v>
      </c>
      <c r="C51" s="19" t="str">
        <f aca="false">IFERROR(INDEX(WorkPackages!$C$5:$C$40,MATCH(B51,WorkPackages!$A$5:$A$40,0)),"")</f>
        <v>Wave 1</v>
      </c>
      <c r="D51" s="5" t="s">
        <v>647</v>
      </c>
      <c r="E51" s="5" t="s">
        <v>504</v>
      </c>
      <c r="F51" s="5" t="s">
        <v>648</v>
      </c>
      <c r="G51" s="5" t="s">
        <v>649</v>
      </c>
      <c r="H51" s="5" t="s">
        <v>642</v>
      </c>
      <c r="I51" s="5" t="s">
        <v>650</v>
      </c>
      <c r="J51" s="5" t="s">
        <v>638</v>
      </c>
      <c r="K51" s="5" t="s">
        <v>404</v>
      </c>
      <c r="L51" s="5" t="s">
        <v>186</v>
      </c>
      <c r="M51" s="4" t="s">
        <v>32</v>
      </c>
      <c r="N51" s="4" t="s">
        <v>405</v>
      </c>
      <c r="O51" s="4" t="s">
        <v>525</v>
      </c>
      <c r="P51" s="19" t="str">
        <f aca="false">IFERROR(INDEX(WorkPackages!$H$5:$H$40,MATCH(B51,WorkPackages!$A$5:$A$40,0)),"")</f>
        <v>feat/wp-t5-teacher-bookings</v>
      </c>
      <c r="Q51" s="18"/>
      <c r="R51" s="18"/>
      <c r="S51" s="4" t="s">
        <v>177</v>
      </c>
      <c r="T51" s="4" t="s">
        <v>651</v>
      </c>
      <c r="U51" s="5" t="s">
        <v>93</v>
      </c>
      <c r="V51" s="5" t="s">
        <v>518</v>
      </c>
      <c r="W51" s="5" t="s">
        <v>86</v>
      </c>
      <c r="X51" s="19" t="str">
        <f aca="false">IF(W51="","—",IFERROR(IF(INDEX(BackendChecklist!$H$5:$H$30,MATCH(W51,BackendChecklist!$A$5:$A$30,0))="نعم","جاهز للبدء",IF(V51="الآن (بنمط seam)","يبدأ بنمط seam — الربط ينتظر","ينتظر الباك اند")),"؟"))</f>
        <v>ينتظر الباك اند</v>
      </c>
    </row>
    <row r="52" customFormat="false" ht="34.5" hidden="false" customHeight="true" outlineLevel="0" collapsed="false">
      <c r="A52" s="17" t="s">
        <v>652</v>
      </c>
      <c r="B52" s="5" t="s">
        <v>218</v>
      </c>
      <c r="C52" s="19" t="str">
        <f aca="false">IFERROR(INDEX(WorkPackages!$C$5:$C$40,MATCH(B52,WorkPackages!$A$5:$A$40,0)),"")</f>
        <v>Wave 1</v>
      </c>
      <c r="D52" s="5" t="s">
        <v>639</v>
      </c>
      <c r="E52" s="5" t="s">
        <v>504</v>
      </c>
      <c r="F52" s="5" t="s">
        <v>653</v>
      </c>
      <c r="G52" s="5" t="s">
        <v>654</v>
      </c>
      <c r="H52" s="5" t="s">
        <v>642</v>
      </c>
      <c r="I52" s="5" t="s">
        <v>655</v>
      </c>
      <c r="J52" s="5" t="s">
        <v>638</v>
      </c>
      <c r="K52" s="5" t="s">
        <v>514</v>
      </c>
      <c r="L52" s="5" t="s">
        <v>185</v>
      </c>
      <c r="M52" s="4" t="s">
        <v>32</v>
      </c>
      <c r="N52" s="4" t="s">
        <v>405</v>
      </c>
      <c r="O52" s="4" t="s">
        <v>525</v>
      </c>
      <c r="P52" s="19" t="str">
        <f aca="false">IFERROR(INDEX(WorkPackages!$H$5:$H$40,MATCH(B52,WorkPackages!$A$5:$A$40,0)),"")</f>
        <v>feat/wp-t5-teacher-bookings</v>
      </c>
      <c r="Q52" s="18"/>
      <c r="R52" s="18"/>
      <c r="S52" s="4" t="s">
        <v>177</v>
      </c>
      <c r="T52" s="4" t="s">
        <v>656</v>
      </c>
      <c r="U52" s="5" t="s">
        <v>93</v>
      </c>
      <c r="V52" s="5" t="s">
        <v>518</v>
      </c>
      <c r="W52" s="5" t="s">
        <v>86</v>
      </c>
      <c r="X52" s="19" t="str">
        <f aca="false">IF(W52="","—",IFERROR(IF(INDEX(BackendChecklist!$H$5:$H$30,MATCH(W52,BackendChecklist!$A$5:$A$30,0))="نعم","جاهز للبدء",IF(V52="الآن (بنمط seam)","يبدأ بنمط seam — الربط ينتظر","ينتظر الباك اند")),"؟"))</f>
        <v>ينتظر الباك اند</v>
      </c>
    </row>
    <row r="53" customFormat="false" ht="34.5" hidden="false" customHeight="true" outlineLevel="0" collapsed="false">
      <c r="A53" s="17" t="s">
        <v>657</v>
      </c>
      <c r="B53" s="5" t="s">
        <v>218</v>
      </c>
      <c r="C53" s="19" t="str">
        <f aca="false">IFERROR(INDEX(WorkPackages!$C$5:$C$40,MATCH(B53,WorkPackages!$A$5:$A$40,0)),"")</f>
        <v>Wave 1</v>
      </c>
      <c r="D53" s="5" t="s">
        <v>346</v>
      </c>
      <c r="E53" s="5" t="s">
        <v>504</v>
      </c>
      <c r="F53" s="5" t="s">
        <v>658</v>
      </c>
      <c r="G53" s="5" t="s">
        <v>659</v>
      </c>
      <c r="H53" s="5" t="s">
        <v>642</v>
      </c>
      <c r="I53" s="5" t="s">
        <v>412</v>
      </c>
      <c r="J53" s="5" t="s">
        <v>638</v>
      </c>
      <c r="K53" s="5" t="s">
        <v>404</v>
      </c>
      <c r="L53" s="5" t="s">
        <v>186</v>
      </c>
      <c r="M53" s="4" t="s">
        <v>32</v>
      </c>
      <c r="N53" s="4" t="s">
        <v>405</v>
      </c>
      <c r="O53" s="4" t="s">
        <v>644</v>
      </c>
      <c r="P53" s="19" t="str">
        <f aca="false">IFERROR(INDEX(WorkPackages!$H$5:$H$40,MATCH(B53,WorkPackages!$A$5:$A$40,0)),"")</f>
        <v>feat/wp-t5-teacher-bookings</v>
      </c>
      <c r="Q53" s="18"/>
      <c r="R53" s="18"/>
      <c r="S53" s="4" t="s">
        <v>177</v>
      </c>
      <c r="T53" s="4" t="s">
        <v>660</v>
      </c>
      <c r="U53" s="5" t="s">
        <v>103</v>
      </c>
      <c r="V53" s="5" t="s">
        <v>510</v>
      </c>
      <c r="W53" s="5" t="s">
        <v>86</v>
      </c>
      <c r="X53" s="19" t="str">
        <f aca="false">IF(W53="","—",IFERROR(IF(INDEX(BackendChecklist!$H$5:$H$30,MATCH(W53,BackendChecklist!$A$5:$A$30,0))="نعم","جاهز للبدء",IF(V53="الآن (بنمط seam)","يبدأ بنمط seam — الربط ينتظر","ينتظر الباك اند")),"؟"))</f>
        <v>ينتظر الباك اند</v>
      </c>
    </row>
    <row r="54" customFormat="false" ht="23.25" hidden="false" customHeight="true" outlineLevel="0" collapsed="false">
      <c r="A54" s="17" t="s">
        <v>661</v>
      </c>
      <c r="B54" s="5" t="s">
        <v>218</v>
      </c>
      <c r="C54" s="19" t="str">
        <f aca="false">IFERROR(INDEX(WorkPackages!$C$5:$C$40,MATCH(B54,WorkPackages!$A$5:$A$40,0)),"")</f>
        <v>Wave 1</v>
      </c>
      <c r="D54" s="5" t="s">
        <v>639</v>
      </c>
      <c r="E54" s="5" t="s">
        <v>504</v>
      </c>
      <c r="F54" s="5" t="s">
        <v>662</v>
      </c>
      <c r="G54" s="5" t="s">
        <v>663</v>
      </c>
      <c r="H54" s="5" t="s">
        <v>664</v>
      </c>
      <c r="I54" s="5" t="s">
        <v>643</v>
      </c>
      <c r="J54" s="5" t="s">
        <v>638</v>
      </c>
      <c r="K54" s="5" t="s">
        <v>514</v>
      </c>
      <c r="L54" s="5" t="s">
        <v>185</v>
      </c>
      <c r="M54" s="4" t="s">
        <v>32</v>
      </c>
      <c r="N54" s="4" t="s">
        <v>515</v>
      </c>
      <c r="O54" s="4" t="s">
        <v>516</v>
      </c>
      <c r="P54" s="19" t="str">
        <f aca="false">IFERROR(INDEX(WorkPackages!$H$5:$H$40,MATCH(B54,WorkPackages!$A$5:$A$40,0)),"")</f>
        <v>feat/wp-t5-teacher-bookings</v>
      </c>
      <c r="Q54" s="18"/>
      <c r="R54" s="18"/>
      <c r="S54" s="4" t="s">
        <v>177</v>
      </c>
      <c r="T54" s="4" t="s">
        <v>566</v>
      </c>
      <c r="U54" s="5" t="s">
        <v>177</v>
      </c>
      <c r="V54" s="5" t="s">
        <v>518</v>
      </c>
      <c r="W54" s="5"/>
      <c r="X54" s="19" t="str">
        <f aca="false">IF(W54="","—",IFERROR(IF(INDEX(BackendChecklist!$H$5:$H$30,MATCH(W54,BackendChecklist!$A$5:$A$30,0))="نعم","جاهز للبدء",IF(V54="الآن (بنمط seam)","يبدأ بنمط seam — الربط ينتظر","ينتظر الباك اند")),"؟"))</f>
        <v>—</v>
      </c>
    </row>
    <row r="55" customFormat="false" ht="15" hidden="false" customHeight="true" outlineLevel="0" collapsed="false">
      <c r="A55" s="17" t="s">
        <v>665</v>
      </c>
      <c r="B55" s="5" t="s">
        <v>218</v>
      </c>
      <c r="C55" s="19" t="str">
        <f aca="false">IFERROR(INDEX(WorkPackages!$C$5:$C$40,MATCH(B55,WorkPackages!$A$5:$A$40,0)),"")</f>
        <v>Wave 1</v>
      </c>
      <c r="D55" s="5" t="s">
        <v>639</v>
      </c>
      <c r="E55" s="5" t="s">
        <v>457</v>
      </c>
      <c r="F55" s="5" t="s">
        <v>666</v>
      </c>
      <c r="G55" s="5" t="s">
        <v>667</v>
      </c>
      <c r="H55" s="5" t="s">
        <v>642</v>
      </c>
      <c r="I55" s="5" t="s">
        <v>115</v>
      </c>
      <c r="J55" s="5" t="s">
        <v>638</v>
      </c>
      <c r="K55" s="5" t="s">
        <v>514</v>
      </c>
      <c r="L55" s="5" t="s">
        <v>185</v>
      </c>
      <c r="M55" s="4" t="s">
        <v>32</v>
      </c>
      <c r="N55" s="4" t="s">
        <v>405</v>
      </c>
      <c r="O55" s="4" t="s">
        <v>644</v>
      </c>
      <c r="P55" s="19" t="str">
        <f aca="false">IFERROR(INDEX(WorkPackages!$H$5:$H$40,MATCH(B55,WorkPackages!$A$5:$A$40,0)),"")</f>
        <v>feat/wp-t5-teacher-bookings</v>
      </c>
      <c r="Q55" s="18"/>
      <c r="R55" s="18"/>
      <c r="S55" s="4" t="s">
        <v>177</v>
      </c>
      <c r="T55" s="4" t="s">
        <v>668</v>
      </c>
      <c r="U55" s="5" t="s">
        <v>103</v>
      </c>
      <c r="V55" s="5" t="s">
        <v>510</v>
      </c>
      <c r="W55" s="5" t="s">
        <v>86</v>
      </c>
      <c r="X55" s="19" t="str">
        <f aca="false">IF(W55="","—",IFERROR(IF(INDEX(BackendChecklist!$H$5:$H$30,MATCH(W55,BackendChecklist!$A$5:$A$30,0))="نعم","جاهز للبدء",IF(V55="الآن (بنمط seam)","يبدأ بنمط seam — الربط ينتظر","ينتظر الباك اند")),"؟"))</f>
        <v>ينتظر الباك اند</v>
      </c>
    </row>
    <row r="56" customFormat="false" ht="34.5" hidden="false" customHeight="true" outlineLevel="0" collapsed="false">
      <c r="A56" s="17" t="s">
        <v>669</v>
      </c>
      <c r="B56" s="5" t="s">
        <v>220</v>
      </c>
      <c r="C56" s="19" t="str">
        <f aca="false">IFERROR(INDEX(WorkPackages!$C$5:$C$40,MATCH(B56,WorkPackages!$A$5:$A$40,0)),"")</f>
        <v>Wave 1</v>
      </c>
      <c r="D56" s="5" t="s">
        <v>647</v>
      </c>
      <c r="E56" s="5" t="s">
        <v>504</v>
      </c>
      <c r="F56" s="5" t="s">
        <v>670</v>
      </c>
      <c r="G56" s="5" t="s">
        <v>671</v>
      </c>
      <c r="H56" s="5" t="s">
        <v>672</v>
      </c>
      <c r="I56" s="5" t="s">
        <v>673</v>
      </c>
      <c r="J56" s="5" t="s">
        <v>195</v>
      </c>
      <c r="K56" s="5" t="s">
        <v>404</v>
      </c>
      <c r="L56" s="5" t="s">
        <v>185</v>
      </c>
      <c r="M56" s="4" t="s">
        <v>32</v>
      </c>
      <c r="N56" s="4" t="s">
        <v>405</v>
      </c>
      <c r="O56" s="4" t="s">
        <v>674</v>
      </c>
      <c r="P56" s="19" t="str">
        <f aca="false">IFERROR(INDEX(WorkPackages!$H$5:$H$40,MATCH(B56,WorkPackages!$A$5:$A$40,0)),"")</f>
        <v>feat/wp-s1-create-booking</v>
      </c>
      <c r="Q56" s="18"/>
      <c r="R56" s="18"/>
      <c r="S56" s="4" t="s">
        <v>177</v>
      </c>
      <c r="T56" s="4" t="s">
        <v>675</v>
      </c>
      <c r="U56" s="5" t="s">
        <v>177</v>
      </c>
      <c r="V56" s="5" t="s">
        <v>518</v>
      </c>
      <c r="W56" s="5"/>
      <c r="X56" s="19" t="str">
        <f aca="false">IF(W56="","—",IFERROR(IF(INDEX(BackendChecklist!$H$5:$H$30,MATCH(W56,BackendChecklist!$A$5:$A$30,0))="نعم","جاهز للبدء",IF(V56="الآن (بنمط seam)","يبدأ بنمط seam — الربط ينتظر","ينتظر الباك اند")),"؟"))</f>
        <v>—</v>
      </c>
    </row>
    <row r="57" customFormat="false" ht="34.5" hidden="false" customHeight="true" outlineLevel="0" collapsed="false">
      <c r="A57" s="17" t="s">
        <v>676</v>
      </c>
      <c r="B57" s="5" t="s">
        <v>220</v>
      </c>
      <c r="C57" s="19" t="str">
        <f aca="false">IFERROR(INDEX(WorkPackages!$C$5:$C$40,MATCH(B57,WorkPackages!$A$5:$A$40,0)),"")</f>
        <v>Wave 1</v>
      </c>
      <c r="D57" s="5" t="s">
        <v>647</v>
      </c>
      <c r="E57" s="5" t="s">
        <v>504</v>
      </c>
      <c r="F57" s="5" t="s">
        <v>677</v>
      </c>
      <c r="G57" s="5" t="s">
        <v>678</v>
      </c>
      <c r="H57" s="5" t="s">
        <v>679</v>
      </c>
      <c r="I57" s="5" t="s">
        <v>680</v>
      </c>
      <c r="J57" s="5" t="s">
        <v>669</v>
      </c>
      <c r="K57" s="5" t="s">
        <v>404</v>
      </c>
      <c r="L57" s="5" t="s">
        <v>187</v>
      </c>
      <c r="M57" s="4" t="s">
        <v>32</v>
      </c>
      <c r="N57" s="4" t="s">
        <v>405</v>
      </c>
      <c r="O57" s="4" t="s">
        <v>674</v>
      </c>
      <c r="P57" s="19" t="str">
        <f aca="false">IFERROR(INDEX(WorkPackages!$H$5:$H$40,MATCH(B57,WorkPackages!$A$5:$A$40,0)),"")</f>
        <v>feat/wp-s1-create-booking</v>
      </c>
      <c r="Q57" s="18"/>
      <c r="R57" s="18"/>
      <c r="S57" s="4" t="s">
        <v>177</v>
      </c>
      <c r="T57" s="4" t="s">
        <v>681</v>
      </c>
      <c r="U57" s="5" t="s">
        <v>177</v>
      </c>
      <c r="V57" s="5" t="s">
        <v>518</v>
      </c>
      <c r="W57" s="5"/>
      <c r="X57" s="19" t="str">
        <f aca="false">IF(W57="","—",IFERROR(IF(INDEX(BackendChecklist!$H$5:$H$30,MATCH(W57,BackendChecklist!$A$5:$A$30,0))="نعم","جاهز للبدء",IF(V57="الآن (بنمط seam)","يبدأ بنمط seam — الربط ينتظر","ينتظر الباك اند")),"؟"))</f>
        <v>—</v>
      </c>
    </row>
    <row r="58" customFormat="false" ht="45.75" hidden="false" customHeight="true" outlineLevel="0" collapsed="false">
      <c r="A58" s="17" t="s">
        <v>682</v>
      </c>
      <c r="B58" s="5" t="s">
        <v>220</v>
      </c>
      <c r="C58" s="19" t="str">
        <f aca="false">IFERROR(INDEX(WorkPackages!$C$5:$C$40,MATCH(B58,WorkPackages!$A$5:$A$40,0)),"")</f>
        <v>Wave 1</v>
      </c>
      <c r="D58" s="5" t="s">
        <v>647</v>
      </c>
      <c r="E58" s="5" t="s">
        <v>504</v>
      </c>
      <c r="F58" s="5" t="s">
        <v>683</v>
      </c>
      <c r="G58" s="5" t="s">
        <v>684</v>
      </c>
      <c r="H58" s="5" t="s">
        <v>672</v>
      </c>
      <c r="I58" s="5" t="s">
        <v>685</v>
      </c>
      <c r="J58" s="5" t="s">
        <v>669</v>
      </c>
      <c r="K58" s="5" t="s">
        <v>404</v>
      </c>
      <c r="L58" s="5" t="s">
        <v>186</v>
      </c>
      <c r="M58" s="4" t="s">
        <v>35</v>
      </c>
      <c r="N58" s="4"/>
      <c r="O58" s="4"/>
      <c r="P58" s="19" t="str">
        <f aca="false">IFERROR(INDEX(WorkPackages!$H$5:$H$40,MATCH(B58,WorkPackages!$A$5:$A$40,0)),"")</f>
        <v>feat/wp-s1-create-booking</v>
      </c>
      <c r="Q58" s="18"/>
      <c r="R58" s="18"/>
      <c r="S58" s="4" t="s">
        <v>177</v>
      </c>
      <c r="T58" s="4" t="s">
        <v>686</v>
      </c>
      <c r="U58" s="5" t="s">
        <v>103</v>
      </c>
      <c r="V58" s="5" t="s">
        <v>687</v>
      </c>
      <c r="W58" s="5" t="s">
        <v>165</v>
      </c>
      <c r="X58" s="19" t="str">
        <f aca="false">IF(W58="","—",IFERROR(IF(INDEX(BackendChecklist!$H$5:$H$30,MATCH(W58,BackendChecklist!$A$5:$A$30,0))="نعم","جاهز للبدء",IF(V58="الآن (بنمط seam)","يبدأ بنمط seam — الربط ينتظر","ينتظر الباك اند")),"؟"))</f>
        <v>ينتظر الباك اند</v>
      </c>
    </row>
    <row r="59" customFormat="false" ht="34.5" hidden="false" customHeight="true" outlineLevel="0" collapsed="false">
      <c r="A59" s="17" t="s">
        <v>688</v>
      </c>
      <c r="B59" s="5" t="s">
        <v>220</v>
      </c>
      <c r="C59" s="19" t="str">
        <f aca="false">IFERROR(INDEX(WorkPackages!$C$5:$C$40,MATCH(B59,WorkPackages!$A$5:$A$40,0)),"")</f>
        <v>Wave 1</v>
      </c>
      <c r="D59" s="5" t="s">
        <v>647</v>
      </c>
      <c r="E59" s="5" t="s">
        <v>504</v>
      </c>
      <c r="F59" s="5" t="s">
        <v>689</v>
      </c>
      <c r="G59" s="5" t="s">
        <v>690</v>
      </c>
      <c r="H59" s="5" t="s">
        <v>672</v>
      </c>
      <c r="I59" s="5" t="s">
        <v>691</v>
      </c>
      <c r="J59" s="5" t="s">
        <v>676</v>
      </c>
      <c r="K59" s="5" t="s">
        <v>404</v>
      </c>
      <c r="L59" s="5" t="s">
        <v>186</v>
      </c>
      <c r="M59" s="4" t="s">
        <v>32</v>
      </c>
      <c r="N59" s="4" t="s">
        <v>405</v>
      </c>
      <c r="O59" s="4" t="s">
        <v>674</v>
      </c>
      <c r="P59" s="19" t="str">
        <f aca="false">IFERROR(INDEX(WorkPackages!$H$5:$H$40,MATCH(B59,WorkPackages!$A$5:$A$40,0)),"")</f>
        <v>feat/wp-s1-create-booking</v>
      </c>
      <c r="Q59" s="18"/>
      <c r="R59" s="18"/>
      <c r="S59" s="4" t="s">
        <v>177</v>
      </c>
      <c r="T59" s="4" t="s">
        <v>692</v>
      </c>
      <c r="U59" s="5" t="s">
        <v>177</v>
      </c>
      <c r="V59" s="5" t="s">
        <v>518</v>
      </c>
      <c r="W59" s="5"/>
      <c r="X59" s="19" t="str">
        <f aca="false">IF(W59="","—",IFERROR(IF(INDEX(BackendChecklist!$H$5:$H$30,MATCH(W59,BackendChecklist!$A$5:$A$30,0))="نعم","جاهز للبدء",IF(V59="الآن (بنمط seam)","يبدأ بنمط seam — الربط ينتظر","ينتظر الباك اند")),"؟"))</f>
        <v>—</v>
      </c>
    </row>
    <row r="60" customFormat="false" ht="34.5" hidden="false" customHeight="true" outlineLevel="0" collapsed="false">
      <c r="A60" s="17" t="s">
        <v>693</v>
      </c>
      <c r="B60" s="5" t="s">
        <v>220</v>
      </c>
      <c r="C60" s="19" t="str">
        <f aca="false">IFERROR(INDEX(WorkPackages!$C$5:$C$40,MATCH(B60,WorkPackages!$A$5:$A$40,0)),"")</f>
        <v>Wave 1</v>
      </c>
      <c r="D60" s="5" t="s">
        <v>647</v>
      </c>
      <c r="E60" s="5" t="s">
        <v>504</v>
      </c>
      <c r="F60" s="5" t="s">
        <v>694</v>
      </c>
      <c r="G60" s="5" t="s">
        <v>695</v>
      </c>
      <c r="H60" s="5" t="s">
        <v>672</v>
      </c>
      <c r="I60" s="5" t="s">
        <v>696</v>
      </c>
      <c r="J60" s="5" t="s">
        <v>697</v>
      </c>
      <c r="K60" s="5" t="s">
        <v>404</v>
      </c>
      <c r="L60" s="5" t="s">
        <v>186</v>
      </c>
      <c r="M60" s="4" t="s">
        <v>32</v>
      </c>
      <c r="N60" s="4"/>
      <c r="O60" s="4"/>
      <c r="P60" s="19" t="str">
        <f aca="false">IFERROR(INDEX(WorkPackages!$H$5:$H$40,MATCH(B60,WorkPackages!$A$5:$A$40,0)),"")</f>
        <v>feat/wp-s1-create-booking</v>
      </c>
      <c r="Q60" s="18"/>
      <c r="R60" s="18"/>
      <c r="S60" s="4" t="s">
        <v>177</v>
      </c>
      <c r="T60" s="4" t="s">
        <v>698</v>
      </c>
      <c r="U60" s="5" t="s">
        <v>103</v>
      </c>
      <c r="V60" s="5" t="s">
        <v>518</v>
      </c>
      <c r="W60" s="5" t="s">
        <v>165</v>
      </c>
      <c r="X60" s="19" t="str">
        <f aca="false">IF(W60="","—",IFERROR(IF(INDEX(BackendChecklist!$H$5:$H$30,MATCH(W60,BackendChecklist!$A$5:$A$30,0))="نعم","جاهز للبدء",IF(V60="الآن (بنمط seam)","يبدأ بنمط seam — الربط ينتظر","ينتظر الباك اند")),"؟"))</f>
        <v>ينتظر الباك اند</v>
      </c>
    </row>
    <row r="61" customFormat="false" ht="57" hidden="false" customHeight="true" outlineLevel="0" collapsed="false">
      <c r="A61" s="17" t="s">
        <v>699</v>
      </c>
      <c r="B61" s="5" t="s">
        <v>220</v>
      </c>
      <c r="C61" s="19" t="str">
        <f aca="false">IFERROR(INDEX(WorkPackages!$C$5:$C$40,MATCH(B61,WorkPackages!$A$5:$A$40,0)),"")</f>
        <v>Wave 1</v>
      </c>
      <c r="D61" s="5" t="s">
        <v>647</v>
      </c>
      <c r="E61" s="5" t="s">
        <v>504</v>
      </c>
      <c r="F61" s="5" t="s">
        <v>700</v>
      </c>
      <c r="G61" s="5" t="s">
        <v>701</v>
      </c>
      <c r="H61" s="5" t="s">
        <v>702</v>
      </c>
      <c r="I61" s="5" t="s">
        <v>115</v>
      </c>
      <c r="J61" s="5" t="s">
        <v>693</v>
      </c>
      <c r="K61" s="5" t="s">
        <v>404</v>
      </c>
      <c r="L61" s="5" t="s">
        <v>185</v>
      </c>
      <c r="M61" s="4" t="s">
        <v>32</v>
      </c>
      <c r="N61" s="4" t="s">
        <v>405</v>
      </c>
      <c r="O61" s="4" t="s">
        <v>674</v>
      </c>
      <c r="P61" s="19" t="str">
        <f aca="false">IFERROR(INDEX(WorkPackages!$H$5:$H$40,MATCH(B61,WorkPackages!$A$5:$A$40,0)),"")</f>
        <v>feat/wp-s1-create-booking</v>
      </c>
      <c r="Q61" s="18"/>
      <c r="R61" s="18"/>
      <c r="S61" s="4" t="s">
        <v>177</v>
      </c>
      <c r="T61" s="4" t="s">
        <v>703</v>
      </c>
      <c r="U61" s="5" t="s">
        <v>177</v>
      </c>
      <c r="V61" s="5" t="s">
        <v>518</v>
      </c>
      <c r="W61" s="5"/>
      <c r="X61" s="19" t="str">
        <f aca="false">IF(W61="","—",IFERROR(IF(INDEX(BackendChecklist!$H$5:$H$30,MATCH(W61,BackendChecklist!$A$5:$A$30,0))="نعم","جاهز للبدء",IF(V61="الآن (بنمط seam)","يبدأ بنمط seam — الربط ينتظر","ينتظر الباك اند")),"؟"))</f>
        <v>—</v>
      </c>
    </row>
    <row r="62" customFormat="false" ht="34.5" hidden="false" customHeight="true" outlineLevel="0" collapsed="false">
      <c r="A62" s="17" t="s">
        <v>704</v>
      </c>
      <c r="B62" s="5" t="s">
        <v>220</v>
      </c>
      <c r="C62" s="19" t="str">
        <f aca="false">IFERROR(INDEX(WorkPackages!$C$5:$C$40,MATCH(B62,WorkPackages!$A$5:$A$40,0)),"")</f>
        <v>Wave 1</v>
      </c>
      <c r="D62" s="5" t="s">
        <v>647</v>
      </c>
      <c r="E62" s="5" t="s">
        <v>504</v>
      </c>
      <c r="F62" s="5" t="s">
        <v>705</v>
      </c>
      <c r="G62" s="5" t="s">
        <v>706</v>
      </c>
      <c r="H62" s="5" t="s">
        <v>672</v>
      </c>
      <c r="I62" s="5" t="s">
        <v>115</v>
      </c>
      <c r="J62" s="5" t="s">
        <v>676</v>
      </c>
      <c r="K62" s="5" t="s">
        <v>514</v>
      </c>
      <c r="L62" s="5" t="s">
        <v>185</v>
      </c>
      <c r="M62" s="4" t="s">
        <v>32</v>
      </c>
      <c r="N62" s="4" t="s">
        <v>405</v>
      </c>
      <c r="O62" s="4" t="s">
        <v>674</v>
      </c>
      <c r="P62" s="19" t="str">
        <f aca="false">IFERROR(INDEX(WorkPackages!$H$5:$H$40,MATCH(B62,WorkPackages!$A$5:$A$40,0)),"")</f>
        <v>feat/wp-s1-create-booking</v>
      </c>
      <c r="Q62" s="18"/>
      <c r="R62" s="18"/>
      <c r="S62" s="4" t="s">
        <v>177</v>
      </c>
      <c r="T62" s="4" t="s">
        <v>707</v>
      </c>
      <c r="U62" s="5" t="s">
        <v>177</v>
      </c>
      <c r="V62" s="5" t="s">
        <v>518</v>
      </c>
      <c r="W62" s="5"/>
      <c r="X62" s="19" t="str">
        <f aca="false">IF(W62="","—",IFERROR(IF(INDEX(BackendChecklist!$H$5:$H$30,MATCH(W62,BackendChecklist!$A$5:$A$30,0))="نعم","جاهز للبدء",IF(V62="الآن (بنمط seam)","يبدأ بنمط seam — الربط ينتظر","ينتظر الباك اند")),"؟"))</f>
        <v>—</v>
      </c>
    </row>
    <row r="63" customFormat="false" ht="34.5" hidden="false" customHeight="true" outlineLevel="0" collapsed="false">
      <c r="A63" s="17" t="s">
        <v>708</v>
      </c>
      <c r="B63" s="5" t="s">
        <v>220</v>
      </c>
      <c r="C63" s="19" t="str">
        <f aca="false">IFERROR(INDEX(WorkPackages!$C$5:$C$40,MATCH(B63,WorkPackages!$A$5:$A$40,0)),"")</f>
        <v>Wave 1</v>
      </c>
      <c r="D63" s="5" t="s">
        <v>647</v>
      </c>
      <c r="E63" s="5" t="s">
        <v>457</v>
      </c>
      <c r="F63" s="5" t="s">
        <v>709</v>
      </c>
      <c r="G63" s="5" t="s">
        <v>710</v>
      </c>
      <c r="H63" s="5" t="s">
        <v>711</v>
      </c>
      <c r="I63" s="5" t="s">
        <v>115</v>
      </c>
      <c r="J63" s="5" t="s">
        <v>676</v>
      </c>
      <c r="K63" s="5" t="s">
        <v>514</v>
      </c>
      <c r="L63" s="5" t="s">
        <v>185</v>
      </c>
      <c r="M63" s="4" t="s">
        <v>32</v>
      </c>
      <c r="N63" s="4" t="s">
        <v>405</v>
      </c>
      <c r="O63" s="4" t="s">
        <v>674</v>
      </c>
      <c r="P63" s="19" t="str">
        <f aca="false">IFERROR(INDEX(WorkPackages!$H$5:$H$40,MATCH(B63,WorkPackages!$A$5:$A$40,0)),"")</f>
        <v>feat/wp-s1-create-booking</v>
      </c>
      <c r="Q63" s="18"/>
      <c r="R63" s="18"/>
      <c r="S63" s="4" t="s">
        <v>177</v>
      </c>
      <c r="T63" s="4" t="s">
        <v>712</v>
      </c>
      <c r="U63" s="5" t="s">
        <v>177</v>
      </c>
      <c r="V63" s="5" t="s">
        <v>518</v>
      </c>
      <c r="W63" s="5"/>
      <c r="X63" s="19" t="str">
        <f aca="false">IF(W63="","—",IFERROR(IF(INDEX(BackendChecklist!$H$5:$H$30,MATCH(W63,BackendChecklist!$A$5:$A$30,0))="نعم","جاهز للبدء",IF(V63="الآن (بنمط seam)","يبدأ بنمط seam — الربط ينتظر","ينتظر الباك اند")),"؟"))</f>
        <v>—</v>
      </c>
    </row>
    <row r="64" customFormat="false" ht="23.25" hidden="false" customHeight="true" outlineLevel="0" collapsed="false">
      <c r="A64" s="17" t="s">
        <v>713</v>
      </c>
      <c r="B64" s="5" t="s">
        <v>222</v>
      </c>
      <c r="C64" s="19" t="str">
        <f aca="false">IFERROR(INDEX(WorkPackages!$C$5:$C$40,MATCH(B64,WorkPackages!$A$5:$A$40,0)),"")</f>
        <v>Wave 1</v>
      </c>
      <c r="D64" s="5" t="s">
        <v>343</v>
      </c>
      <c r="E64" s="5" t="s">
        <v>504</v>
      </c>
      <c r="F64" s="5" t="s">
        <v>714</v>
      </c>
      <c r="G64" s="5" t="s">
        <v>715</v>
      </c>
      <c r="H64" s="5" t="s">
        <v>716</v>
      </c>
      <c r="I64" s="5" t="s">
        <v>717</v>
      </c>
      <c r="J64" s="5" t="s">
        <v>195</v>
      </c>
      <c r="K64" s="5" t="s">
        <v>404</v>
      </c>
      <c r="L64" s="5" t="s">
        <v>186</v>
      </c>
      <c r="M64" s="4" t="s">
        <v>32</v>
      </c>
      <c r="N64" s="4" t="s">
        <v>405</v>
      </c>
      <c r="O64" s="4" t="s">
        <v>718</v>
      </c>
      <c r="P64" s="19" t="str">
        <f aca="false">IFERROR(INDEX(WorkPackages!$H$5:$H$40,MATCH(B64,WorkPackages!$A$5:$A$40,0)),"")</f>
        <v>feat/wp-s2-booking-detail-cancel</v>
      </c>
      <c r="Q64" s="18"/>
      <c r="R64" s="18"/>
      <c r="S64" s="4" t="s">
        <v>177</v>
      </c>
      <c r="T64" s="4" t="s">
        <v>719</v>
      </c>
      <c r="U64" s="5" t="s">
        <v>103</v>
      </c>
      <c r="V64" s="5" t="s">
        <v>510</v>
      </c>
      <c r="W64" s="5" t="s">
        <v>96</v>
      </c>
      <c r="X64" s="19" t="str">
        <f aca="false">IF(W64="","—",IFERROR(IF(INDEX(BackendChecklist!$H$5:$H$30,MATCH(W64,BackendChecklist!$A$5:$A$30,0))="نعم","جاهز للبدء",IF(V64="الآن (بنمط seam)","يبدأ بنمط seam — الربط ينتظر","ينتظر الباك اند")),"؟"))</f>
        <v>جاهز للبدء</v>
      </c>
    </row>
    <row r="65" customFormat="false" ht="34.5" hidden="false" customHeight="true" outlineLevel="0" collapsed="false">
      <c r="A65" s="17" t="s">
        <v>720</v>
      </c>
      <c r="B65" s="5" t="s">
        <v>222</v>
      </c>
      <c r="C65" s="19" t="str">
        <f aca="false">IFERROR(INDEX(WorkPackages!$C$5:$C$40,MATCH(B65,WorkPackages!$A$5:$A$40,0)),"")</f>
        <v>Wave 1</v>
      </c>
      <c r="D65" s="5" t="s">
        <v>343</v>
      </c>
      <c r="E65" s="5" t="s">
        <v>504</v>
      </c>
      <c r="F65" s="5" t="s">
        <v>721</v>
      </c>
      <c r="G65" s="5" t="s">
        <v>722</v>
      </c>
      <c r="H65" s="5" t="s">
        <v>716</v>
      </c>
      <c r="I65" s="5" t="s">
        <v>115</v>
      </c>
      <c r="J65" s="5" t="s">
        <v>713</v>
      </c>
      <c r="K65" s="5" t="s">
        <v>404</v>
      </c>
      <c r="L65" s="5" t="s">
        <v>185</v>
      </c>
      <c r="M65" s="4" t="s">
        <v>32</v>
      </c>
      <c r="N65" s="4" t="s">
        <v>405</v>
      </c>
      <c r="O65" s="4" t="s">
        <v>718</v>
      </c>
      <c r="P65" s="19" t="str">
        <f aca="false">IFERROR(INDEX(WorkPackages!$H$5:$H$40,MATCH(B65,WorkPackages!$A$5:$A$40,0)),"")</f>
        <v>feat/wp-s2-booking-detail-cancel</v>
      </c>
      <c r="Q65" s="18"/>
      <c r="R65" s="18"/>
      <c r="S65" s="4" t="s">
        <v>177</v>
      </c>
      <c r="T65" s="4" t="s">
        <v>723</v>
      </c>
      <c r="U65" s="5" t="s">
        <v>103</v>
      </c>
      <c r="V65" s="5" t="s">
        <v>510</v>
      </c>
      <c r="W65" s="5" t="s">
        <v>96</v>
      </c>
      <c r="X65" s="19" t="str">
        <f aca="false">IF(W65="","—",IFERROR(IF(INDEX(BackendChecklist!$H$5:$H$30,MATCH(W65,BackendChecklist!$A$5:$A$30,0))="نعم","جاهز للبدء",IF(V65="الآن (بنمط seam)","يبدأ بنمط seam — الربط ينتظر","ينتظر الباك اند")),"؟"))</f>
        <v>جاهز للبدء</v>
      </c>
    </row>
    <row r="66" customFormat="false" ht="45.75" hidden="false" customHeight="true" outlineLevel="0" collapsed="false">
      <c r="A66" s="17" t="s">
        <v>724</v>
      </c>
      <c r="B66" s="5" t="s">
        <v>222</v>
      </c>
      <c r="C66" s="19" t="str">
        <f aca="false">IFERROR(INDEX(WorkPackages!$C$5:$C$40,MATCH(B66,WorkPackages!$A$5:$A$40,0)),"")</f>
        <v>Wave 1</v>
      </c>
      <c r="D66" s="5" t="s">
        <v>343</v>
      </c>
      <c r="E66" s="5" t="s">
        <v>504</v>
      </c>
      <c r="F66" s="5" t="s">
        <v>725</v>
      </c>
      <c r="G66" s="5" t="s">
        <v>726</v>
      </c>
      <c r="H66" s="5" t="s">
        <v>727</v>
      </c>
      <c r="I66" s="5" t="s">
        <v>728</v>
      </c>
      <c r="J66" s="5" t="s">
        <v>713</v>
      </c>
      <c r="K66" s="5" t="s">
        <v>404</v>
      </c>
      <c r="L66" s="5" t="s">
        <v>186</v>
      </c>
      <c r="M66" s="4" t="s">
        <v>32</v>
      </c>
      <c r="N66" s="4" t="s">
        <v>405</v>
      </c>
      <c r="O66" s="4" t="s">
        <v>674</v>
      </c>
      <c r="P66" s="19" t="str">
        <f aca="false">IFERROR(INDEX(WorkPackages!$H$5:$H$40,MATCH(B66,WorkPackages!$A$5:$A$40,0)),"")</f>
        <v>feat/wp-s2-booking-detail-cancel</v>
      </c>
      <c r="Q66" s="18"/>
      <c r="R66" s="18"/>
      <c r="S66" s="4" t="s">
        <v>177</v>
      </c>
      <c r="T66" s="4" t="s">
        <v>729</v>
      </c>
      <c r="U66" s="5" t="s">
        <v>177</v>
      </c>
      <c r="V66" s="5" t="s">
        <v>518</v>
      </c>
      <c r="W66" s="5"/>
      <c r="X66" s="19" t="str">
        <f aca="false">IF(W66="","—",IFERROR(IF(INDEX(BackendChecklist!$H$5:$H$30,MATCH(W66,BackendChecklist!$A$5:$A$30,0))="نعم","جاهز للبدء",IF(V66="الآن (بنمط seam)","يبدأ بنمط seam — الربط ينتظر","ينتظر الباك اند")),"؟"))</f>
        <v>—</v>
      </c>
    </row>
    <row r="67" customFormat="false" ht="57" hidden="false" customHeight="true" outlineLevel="0" collapsed="false">
      <c r="A67" s="17" t="s">
        <v>730</v>
      </c>
      <c r="B67" s="5" t="s">
        <v>222</v>
      </c>
      <c r="C67" s="19" t="str">
        <f aca="false">IFERROR(INDEX(WorkPackages!$C$5:$C$40,MATCH(B67,WorkPackages!$A$5:$A$40,0)),"")</f>
        <v>Wave 1</v>
      </c>
      <c r="D67" s="5" t="s">
        <v>343</v>
      </c>
      <c r="E67" s="5" t="s">
        <v>504</v>
      </c>
      <c r="F67" s="5" t="s">
        <v>731</v>
      </c>
      <c r="G67" s="5" t="s">
        <v>732</v>
      </c>
      <c r="H67" s="5" t="s">
        <v>733</v>
      </c>
      <c r="I67" s="5" t="s">
        <v>482</v>
      </c>
      <c r="J67" s="5" t="s">
        <v>195</v>
      </c>
      <c r="K67" s="5" t="s">
        <v>514</v>
      </c>
      <c r="L67" s="5" t="s">
        <v>186</v>
      </c>
      <c r="M67" s="4" t="s">
        <v>32</v>
      </c>
      <c r="N67" s="4" t="s">
        <v>405</v>
      </c>
      <c r="O67" s="4" t="s">
        <v>674</v>
      </c>
      <c r="P67" s="19" t="str">
        <f aca="false">IFERROR(INDEX(WorkPackages!$H$5:$H$40,MATCH(B67,WorkPackages!$A$5:$A$40,0)),"")</f>
        <v>feat/wp-s2-booking-detail-cancel</v>
      </c>
      <c r="Q67" s="18"/>
      <c r="R67" s="18"/>
      <c r="S67" s="4" t="s">
        <v>177</v>
      </c>
      <c r="T67" s="4" t="s">
        <v>734</v>
      </c>
      <c r="U67" s="5" t="s">
        <v>177</v>
      </c>
      <c r="V67" s="5" t="s">
        <v>518</v>
      </c>
      <c r="W67" s="5"/>
      <c r="X67" s="19" t="str">
        <f aca="false">IF(W67="","—",IFERROR(IF(INDEX(BackendChecklist!$H$5:$H$30,MATCH(W67,BackendChecklist!$A$5:$A$30,0))="نعم","جاهز للبدء",IF(V67="الآن (بنمط seam)","يبدأ بنمط seam — الربط ينتظر","ينتظر الباك اند")),"؟"))</f>
        <v>—</v>
      </c>
    </row>
    <row r="68" customFormat="false" ht="23.25" hidden="false" customHeight="true" outlineLevel="0" collapsed="false">
      <c r="A68" s="17" t="s">
        <v>735</v>
      </c>
      <c r="B68" s="5" t="s">
        <v>222</v>
      </c>
      <c r="C68" s="19" t="str">
        <f aca="false">IFERROR(INDEX(WorkPackages!$C$5:$C$40,MATCH(B68,WorkPackages!$A$5:$A$40,0)),"")</f>
        <v>Wave 1</v>
      </c>
      <c r="D68" s="5" t="s">
        <v>343</v>
      </c>
      <c r="E68" s="5" t="s">
        <v>457</v>
      </c>
      <c r="F68" s="5" t="s">
        <v>736</v>
      </c>
      <c r="G68" s="5" t="s">
        <v>737</v>
      </c>
      <c r="H68" s="5" t="s">
        <v>716</v>
      </c>
      <c r="I68" s="5" t="s">
        <v>115</v>
      </c>
      <c r="J68" s="5" t="s">
        <v>713</v>
      </c>
      <c r="K68" s="5" t="s">
        <v>514</v>
      </c>
      <c r="L68" s="5" t="s">
        <v>185</v>
      </c>
      <c r="M68" s="4" t="s">
        <v>32</v>
      </c>
      <c r="N68" s="4" t="s">
        <v>405</v>
      </c>
      <c r="O68" s="4" t="s">
        <v>718</v>
      </c>
      <c r="P68" s="19" t="str">
        <f aca="false">IFERROR(INDEX(WorkPackages!$H$5:$H$40,MATCH(B68,WorkPackages!$A$5:$A$40,0)),"")</f>
        <v>feat/wp-s2-booking-detail-cancel</v>
      </c>
      <c r="Q68" s="18"/>
      <c r="R68" s="18"/>
      <c r="S68" s="4" t="s">
        <v>177</v>
      </c>
      <c r="T68" s="4" t="s">
        <v>738</v>
      </c>
      <c r="U68" s="5" t="s">
        <v>103</v>
      </c>
      <c r="V68" s="5" t="s">
        <v>510</v>
      </c>
      <c r="W68" s="5" t="s">
        <v>96</v>
      </c>
      <c r="X68" s="19" t="str">
        <f aca="false">IF(W68="","—",IFERROR(IF(INDEX(BackendChecklist!$H$5:$H$30,MATCH(W68,BackendChecklist!$A$5:$A$30,0))="نعم","جاهز للبدء",IF(V68="الآن (بنمط seam)","يبدأ بنمط seam — الربط ينتظر","ينتظر الباك اند")),"؟"))</f>
        <v>جاهز للبدء</v>
      </c>
    </row>
    <row r="69" customFormat="false" ht="34.5" hidden="false" customHeight="true" outlineLevel="0" collapsed="false">
      <c r="A69" s="17" t="s">
        <v>739</v>
      </c>
      <c r="B69" s="5" t="s">
        <v>224</v>
      </c>
      <c r="C69" s="19" t="str">
        <f aca="false">IFERROR(INDEX(WorkPackages!$C$5:$C$40,MATCH(B69,WorkPackages!$A$5:$A$40,0)),"")</f>
        <v>Wave 1</v>
      </c>
      <c r="D69" s="5" t="s">
        <v>346</v>
      </c>
      <c r="E69" s="5" t="s">
        <v>504</v>
      </c>
      <c r="F69" s="5" t="s">
        <v>740</v>
      </c>
      <c r="G69" s="5" t="s">
        <v>741</v>
      </c>
      <c r="H69" s="5" t="s">
        <v>742</v>
      </c>
      <c r="I69" s="5" t="s">
        <v>743</v>
      </c>
      <c r="J69" s="5" t="s">
        <v>195</v>
      </c>
      <c r="K69" s="5" t="s">
        <v>404</v>
      </c>
      <c r="L69" s="5" t="s">
        <v>186</v>
      </c>
      <c r="M69" s="4" t="s">
        <v>32</v>
      </c>
      <c r="N69" s="4" t="s">
        <v>405</v>
      </c>
      <c r="O69" s="4" t="s">
        <v>674</v>
      </c>
      <c r="P69" s="19" t="str">
        <f aca="false">IFERROR(INDEX(WorkPackages!$H$5:$H$40,MATCH(B69,WorkPackages!$A$5:$A$40,0)),"")</f>
        <v>feat/wp-s3-reschedule</v>
      </c>
      <c r="Q69" s="18"/>
      <c r="R69" s="18"/>
      <c r="S69" s="4" t="s">
        <v>177</v>
      </c>
      <c r="T69" s="4" t="s">
        <v>744</v>
      </c>
      <c r="U69" s="5" t="s">
        <v>177</v>
      </c>
      <c r="V69" s="5" t="s">
        <v>518</v>
      </c>
      <c r="W69" s="5"/>
      <c r="X69" s="19" t="str">
        <f aca="false">IF(W69="","—",IFERROR(IF(INDEX(BackendChecklist!$H$5:$H$30,MATCH(W69,BackendChecklist!$A$5:$A$30,0))="نعم","جاهز للبدء",IF(V69="الآن (بنمط seam)","يبدأ بنمط seam — الربط ينتظر","ينتظر الباك اند")),"؟"))</f>
        <v>—</v>
      </c>
    </row>
    <row r="70" customFormat="false" ht="23.25" hidden="false" customHeight="true" outlineLevel="0" collapsed="false">
      <c r="A70" s="17" t="s">
        <v>117</v>
      </c>
      <c r="B70" s="5" t="s">
        <v>224</v>
      </c>
      <c r="C70" s="19" t="str">
        <f aca="false">IFERROR(INDEX(WorkPackages!$C$5:$C$40,MATCH(B70,WorkPackages!$A$5:$A$40,0)),"")</f>
        <v>Wave 1</v>
      </c>
      <c r="D70" s="5" t="s">
        <v>346</v>
      </c>
      <c r="E70" s="5" t="s">
        <v>504</v>
      </c>
      <c r="F70" s="5" t="s">
        <v>745</v>
      </c>
      <c r="G70" s="5" t="s">
        <v>746</v>
      </c>
      <c r="H70" s="5" t="s">
        <v>747</v>
      </c>
      <c r="I70" s="5" t="s">
        <v>748</v>
      </c>
      <c r="J70" s="5" t="s">
        <v>195</v>
      </c>
      <c r="K70" s="5" t="s">
        <v>404</v>
      </c>
      <c r="L70" s="5" t="s">
        <v>186</v>
      </c>
      <c r="M70" s="4" t="s">
        <v>32</v>
      </c>
      <c r="N70" s="4" t="s">
        <v>405</v>
      </c>
      <c r="O70" s="4" t="s">
        <v>718</v>
      </c>
      <c r="P70" s="19" t="str">
        <f aca="false">IFERROR(INDEX(WorkPackages!$H$5:$H$40,MATCH(B70,WorkPackages!$A$5:$A$40,0)),"")</f>
        <v>feat/wp-s3-reschedule</v>
      </c>
      <c r="Q70" s="18"/>
      <c r="R70" s="18"/>
      <c r="S70" s="4" t="s">
        <v>177</v>
      </c>
      <c r="T70" s="4" t="s">
        <v>749</v>
      </c>
      <c r="U70" s="5" t="s">
        <v>103</v>
      </c>
      <c r="V70" s="5" t="s">
        <v>510</v>
      </c>
      <c r="W70" s="5" t="s">
        <v>112</v>
      </c>
      <c r="X70" s="19" t="str">
        <f aca="false">IF(W70="","—",IFERROR(IF(INDEX(BackendChecklist!$H$5:$H$30,MATCH(W70,BackendChecklist!$A$5:$A$30,0))="نعم","جاهز للبدء",IF(V70="الآن (بنمط seam)","يبدأ بنمط seam — الربط ينتظر","ينتظر الباك اند")),"؟"))</f>
        <v>جاهز للبدء</v>
      </c>
    </row>
    <row r="71" customFormat="false" ht="34.5" hidden="false" customHeight="true" outlineLevel="0" collapsed="false">
      <c r="A71" s="17" t="s">
        <v>750</v>
      </c>
      <c r="B71" s="5" t="s">
        <v>224</v>
      </c>
      <c r="C71" s="19" t="str">
        <f aca="false">IFERROR(INDEX(WorkPackages!$C$5:$C$40,MATCH(B71,WorkPackages!$A$5:$A$40,0)),"")</f>
        <v>Wave 1</v>
      </c>
      <c r="D71" s="5" t="s">
        <v>346</v>
      </c>
      <c r="E71" s="5" t="s">
        <v>504</v>
      </c>
      <c r="F71" s="5" t="s">
        <v>751</v>
      </c>
      <c r="G71" s="5" t="s">
        <v>752</v>
      </c>
      <c r="H71" s="5" t="s">
        <v>742</v>
      </c>
      <c r="I71" s="5" t="s">
        <v>115</v>
      </c>
      <c r="J71" s="5" t="s">
        <v>739</v>
      </c>
      <c r="K71" s="5" t="s">
        <v>404</v>
      </c>
      <c r="L71" s="5" t="s">
        <v>185</v>
      </c>
      <c r="M71" s="4" t="s">
        <v>32</v>
      </c>
      <c r="N71" s="4" t="s">
        <v>405</v>
      </c>
      <c r="O71" s="4" t="s">
        <v>674</v>
      </c>
      <c r="P71" s="19" t="str">
        <f aca="false">IFERROR(INDEX(WorkPackages!$H$5:$H$40,MATCH(B71,WorkPackages!$A$5:$A$40,0)),"")</f>
        <v>feat/wp-s3-reschedule</v>
      </c>
      <c r="Q71" s="18"/>
      <c r="R71" s="18"/>
      <c r="S71" s="4" t="s">
        <v>177</v>
      </c>
      <c r="T71" s="4" t="s">
        <v>753</v>
      </c>
      <c r="U71" s="5" t="s">
        <v>177</v>
      </c>
      <c r="V71" s="5" t="s">
        <v>518</v>
      </c>
      <c r="W71" s="5"/>
      <c r="X71" s="19" t="str">
        <f aca="false">IF(W71="","—",IFERROR(IF(INDEX(BackendChecklist!$H$5:$H$30,MATCH(W71,BackendChecklist!$A$5:$A$30,0))="نعم","جاهز للبدء",IF(V71="الآن (بنمط seam)","يبدأ بنمط seam — الربط ينتظر","ينتظر الباك اند")),"؟"))</f>
        <v>—</v>
      </c>
    </row>
    <row r="72" customFormat="false" ht="34.5" hidden="false" customHeight="true" outlineLevel="0" collapsed="false">
      <c r="A72" s="17" t="s">
        <v>754</v>
      </c>
      <c r="B72" s="5" t="s">
        <v>224</v>
      </c>
      <c r="C72" s="19" t="str">
        <f aca="false">IFERROR(INDEX(WorkPackages!$C$5:$C$40,MATCH(B72,WorkPackages!$A$5:$A$40,0)),"")</f>
        <v>Wave 1</v>
      </c>
      <c r="D72" s="5" t="s">
        <v>346</v>
      </c>
      <c r="E72" s="5" t="s">
        <v>457</v>
      </c>
      <c r="F72" s="5" t="s">
        <v>755</v>
      </c>
      <c r="G72" s="5" t="s">
        <v>756</v>
      </c>
      <c r="H72" s="5" t="s">
        <v>757</v>
      </c>
      <c r="I72" s="5" t="s">
        <v>115</v>
      </c>
      <c r="J72" s="5" t="s">
        <v>739</v>
      </c>
      <c r="K72" s="5" t="s">
        <v>514</v>
      </c>
      <c r="L72" s="5" t="s">
        <v>185</v>
      </c>
      <c r="M72" s="4" t="s">
        <v>32</v>
      </c>
      <c r="N72" s="4" t="s">
        <v>405</v>
      </c>
      <c r="O72" s="4" t="s">
        <v>674</v>
      </c>
      <c r="P72" s="19" t="str">
        <f aca="false">IFERROR(INDEX(WorkPackages!$H$5:$H$40,MATCH(B72,WorkPackages!$A$5:$A$40,0)),"")</f>
        <v>feat/wp-s3-reschedule</v>
      </c>
      <c r="Q72" s="18"/>
      <c r="R72" s="18"/>
      <c r="S72" s="4" t="s">
        <v>177</v>
      </c>
      <c r="T72" s="4" t="s">
        <v>758</v>
      </c>
      <c r="U72" s="5" t="s">
        <v>177</v>
      </c>
      <c r="V72" s="5" t="s">
        <v>518</v>
      </c>
      <c r="W72" s="5"/>
      <c r="X72" s="19" t="str">
        <f aca="false">IF(W72="","—",IFERROR(IF(INDEX(BackendChecklist!$H$5:$H$30,MATCH(W72,BackendChecklist!$A$5:$A$30,0))="نعم","جاهز للبدء",IF(V72="الآن (بنمط seam)","يبدأ بنمط seam — الربط ينتظر","ينتظر الباك اند")),"؟"))</f>
        <v>—</v>
      </c>
    </row>
    <row r="73" customFormat="false" ht="45.75" hidden="false" customHeight="true" outlineLevel="0" collapsed="false">
      <c r="A73" s="17" t="s">
        <v>759</v>
      </c>
      <c r="B73" s="5" t="s">
        <v>226</v>
      </c>
      <c r="C73" s="19" t="str">
        <f aca="false">IFERROR(INDEX(WorkPackages!$C$5:$C$40,MATCH(B73,WorkPackages!$A$5:$A$40,0)),"")</f>
        <v>Wave 1</v>
      </c>
      <c r="D73" s="5" t="s">
        <v>349</v>
      </c>
      <c r="E73" s="5" t="s">
        <v>504</v>
      </c>
      <c r="F73" s="5" t="s">
        <v>760</v>
      </c>
      <c r="G73" s="5" t="s">
        <v>761</v>
      </c>
      <c r="H73" s="5" t="s">
        <v>762</v>
      </c>
      <c r="I73" s="5" t="s">
        <v>763</v>
      </c>
      <c r="J73" s="5" t="s">
        <v>195</v>
      </c>
      <c r="K73" s="5" t="s">
        <v>404</v>
      </c>
      <c r="L73" s="5" t="s">
        <v>186</v>
      </c>
      <c r="M73" s="4" t="s">
        <v>32</v>
      </c>
      <c r="N73" s="4" t="s">
        <v>405</v>
      </c>
      <c r="O73" s="4" t="s">
        <v>674</v>
      </c>
      <c r="P73" s="19" t="str">
        <f aca="false">IFERROR(INDEX(WorkPackages!$H$5:$H$40,MATCH(B73,WorkPackages!$A$5:$A$40,0)),"")</f>
        <v>feat/wp-s4-rating</v>
      </c>
      <c r="Q73" s="18"/>
      <c r="R73" s="18"/>
      <c r="S73" s="4" t="s">
        <v>177</v>
      </c>
      <c r="T73" s="4" t="s">
        <v>764</v>
      </c>
      <c r="U73" s="5" t="s">
        <v>177</v>
      </c>
      <c r="V73" s="5" t="s">
        <v>518</v>
      </c>
      <c r="W73" s="5"/>
      <c r="X73" s="19" t="str">
        <f aca="false">IF(W73="","—",IFERROR(IF(INDEX(BackendChecklist!$H$5:$H$30,MATCH(W73,BackendChecklist!$A$5:$A$30,0))="نعم","جاهز للبدء",IF(V73="الآن (بنمط seam)","يبدأ بنمط seam — الربط ينتظر","ينتظر الباك اند")),"؟"))</f>
        <v>—</v>
      </c>
    </row>
    <row r="74" customFormat="false" ht="15" hidden="false" customHeight="true" outlineLevel="0" collapsed="false">
      <c r="A74" s="17" t="s">
        <v>765</v>
      </c>
      <c r="B74" s="5" t="s">
        <v>226</v>
      </c>
      <c r="C74" s="19" t="str">
        <f aca="false">IFERROR(INDEX(WorkPackages!$C$5:$C$40,MATCH(B74,WorkPackages!$A$5:$A$40,0)),"")</f>
        <v>Wave 1</v>
      </c>
      <c r="D74" s="5" t="s">
        <v>349</v>
      </c>
      <c r="E74" s="5" t="s">
        <v>504</v>
      </c>
      <c r="F74" s="5" t="s">
        <v>766</v>
      </c>
      <c r="G74" s="5" t="s">
        <v>767</v>
      </c>
      <c r="H74" s="5" t="s">
        <v>762</v>
      </c>
      <c r="I74" s="5" t="s">
        <v>115</v>
      </c>
      <c r="J74" s="5" t="s">
        <v>759</v>
      </c>
      <c r="K74" s="5" t="s">
        <v>404</v>
      </c>
      <c r="L74" s="5" t="s">
        <v>185</v>
      </c>
      <c r="M74" s="4" t="s">
        <v>32</v>
      </c>
      <c r="N74" s="4" t="s">
        <v>405</v>
      </c>
      <c r="O74" s="4" t="s">
        <v>718</v>
      </c>
      <c r="P74" s="19" t="str">
        <f aca="false">IFERROR(INDEX(WorkPackages!$H$5:$H$40,MATCH(B74,WorkPackages!$A$5:$A$40,0)),"")</f>
        <v>feat/wp-s4-rating</v>
      </c>
      <c r="Q74" s="18"/>
      <c r="R74" s="18"/>
      <c r="S74" s="4" t="s">
        <v>177</v>
      </c>
      <c r="T74" s="4" t="s">
        <v>768</v>
      </c>
      <c r="U74" s="5" t="s">
        <v>103</v>
      </c>
      <c r="V74" s="5" t="s">
        <v>510</v>
      </c>
      <c r="W74" s="5" t="s">
        <v>96</v>
      </c>
      <c r="X74" s="19" t="str">
        <f aca="false">IF(W74="","—",IFERROR(IF(INDEX(BackendChecklist!$H$5:$H$30,MATCH(W74,BackendChecklist!$A$5:$A$30,0))="نعم","جاهز للبدء",IF(V74="الآن (بنمط seam)","يبدأ بنمط seam — الربط ينتظر","ينتظر الباك اند")),"؟"))</f>
        <v>جاهز للبدء</v>
      </c>
    </row>
    <row r="75" customFormat="false" ht="15" hidden="false" customHeight="true" outlineLevel="0" collapsed="false">
      <c r="A75" s="17" t="s">
        <v>769</v>
      </c>
      <c r="B75" s="5" t="s">
        <v>226</v>
      </c>
      <c r="C75" s="19" t="str">
        <f aca="false">IFERROR(INDEX(WorkPackages!$C$5:$C$40,MATCH(B75,WorkPackages!$A$5:$A$40,0)),"")</f>
        <v>Wave 1</v>
      </c>
      <c r="D75" s="5" t="s">
        <v>349</v>
      </c>
      <c r="E75" s="5" t="s">
        <v>504</v>
      </c>
      <c r="F75" s="5" t="s">
        <v>770</v>
      </c>
      <c r="G75" s="5" t="s">
        <v>771</v>
      </c>
      <c r="H75" s="5" t="s">
        <v>762</v>
      </c>
      <c r="I75" s="5" t="s">
        <v>115</v>
      </c>
      <c r="J75" s="5" t="s">
        <v>759</v>
      </c>
      <c r="K75" s="5" t="s">
        <v>514</v>
      </c>
      <c r="L75" s="5" t="s">
        <v>185</v>
      </c>
      <c r="M75" s="4" t="s">
        <v>34</v>
      </c>
      <c r="N75" s="4"/>
      <c r="O75" s="4" t="s">
        <v>772</v>
      </c>
      <c r="P75" s="19" t="str">
        <f aca="false">IFERROR(INDEX(WorkPackages!$H$5:$H$40,MATCH(B75,WorkPackages!$A$5:$A$40,0)),"")</f>
        <v>feat/wp-s4-rating</v>
      </c>
      <c r="Q75" s="18"/>
      <c r="R75" s="18"/>
      <c r="S75" s="4" t="s">
        <v>177</v>
      </c>
      <c r="T75" s="4"/>
      <c r="U75" s="5" t="s">
        <v>103</v>
      </c>
      <c r="V75" s="5" t="s">
        <v>510</v>
      </c>
      <c r="W75" s="5" t="s">
        <v>96</v>
      </c>
      <c r="X75" s="19" t="str">
        <f aca="false">IF(W75="","—",IFERROR(IF(INDEX(BackendChecklist!$H$5:$H$30,MATCH(W75,BackendChecklist!$A$5:$A$30,0))="نعم","جاهز للبدء",IF(V75="الآن (بنمط seam)","يبدأ بنمط seam — الربط ينتظر","ينتظر الباك اند")),"؟"))</f>
        <v>جاهز للبدء</v>
      </c>
    </row>
    <row r="76" customFormat="false" ht="34.5" hidden="false" customHeight="true" outlineLevel="0" collapsed="false">
      <c r="A76" s="17" t="s">
        <v>773</v>
      </c>
      <c r="B76" s="5" t="s">
        <v>226</v>
      </c>
      <c r="C76" s="19" t="str">
        <f aca="false">IFERROR(INDEX(WorkPackages!$C$5:$C$40,MATCH(B76,WorkPackages!$A$5:$A$40,0)),"")</f>
        <v>Wave 1</v>
      </c>
      <c r="D76" s="5" t="s">
        <v>349</v>
      </c>
      <c r="E76" s="5" t="s">
        <v>457</v>
      </c>
      <c r="F76" s="5" t="s">
        <v>774</v>
      </c>
      <c r="G76" s="5" t="s">
        <v>775</v>
      </c>
      <c r="H76" s="5" t="s">
        <v>776</v>
      </c>
      <c r="I76" s="5" t="s">
        <v>115</v>
      </c>
      <c r="J76" s="5" t="s">
        <v>759</v>
      </c>
      <c r="K76" s="5" t="s">
        <v>514</v>
      </c>
      <c r="L76" s="5" t="s">
        <v>185</v>
      </c>
      <c r="M76" s="4" t="s">
        <v>32</v>
      </c>
      <c r="N76" s="4" t="s">
        <v>405</v>
      </c>
      <c r="O76" s="4" t="s">
        <v>674</v>
      </c>
      <c r="P76" s="19" t="str">
        <f aca="false">IFERROR(INDEX(WorkPackages!$H$5:$H$40,MATCH(B76,WorkPackages!$A$5:$A$40,0)),"")</f>
        <v>feat/wp-s4-rating</v>
      </c>
      <c r="Q76" s="18"/>
      <c r="R76" s="18"/>
      <c r="S76" s="4" t="s">
        <v>177</v>
      </c>
      <c r="T76" s="4" t="s">
        <v>777</v>
      </c>
      <c r="U76" s="5" t="s">
        <v>177</v>
      </c>
      <c r="V76" s="5" t="s">
        <v>518</v>
      </c>
      <c r="W76" s="5"/>
      <c r="X76" s="19" t="str">
        <f aca="false">IF(W76="","—",IFERROR(IF(INDEX(BackendChecklist!$H$5:$H$30,MATCH(W76,BackendChecklist!$A$5:$A$30,0))="نعم","جاهز للبدء",IF(V76="الآن (بنمط seam)","يبدأ بنمط seam — الربط ينتظر","ينتظر الباك اند")),"؟"))</f>
        <v>—</v>
      </c>
    </row>
    <row r="77" customFormat="false" ht="23.25" hidden="false" customHeight="true" outlineLevel="0" collapsed="false">
      <c r="A77" s="17" t="s">
        <v>778</v>
      </c>
      <c r="B77" s="5" t="s">
        <v>228</v>
      </c>
      <c r="C77" s="19" t="str">
        <f aca="false">IFERROR(INDEX(WorkPackages!$C$5:$C$40,MATCH(B77,WorkPackages!$A$5:$A$40,0)),"")</f>
        <v>Wave 1</v>
      </c>
      <c r="D77" s="5" t="s">
        <v>779</v>
      </c>
      <c r="E77" s="5" t="s">
        <v>504</v>
      </c>
      <c r="F77" s="5" t="s">
        <v>780</v>
      </c>
      <c r="G77" s="5" t="s">
        <v>781</v>
      </c>
      <c r="H77" s="5" t="s">
        <v>782</v>
      </c>
      <c r="I77" s="5" t="s">
        <v>783</v>
      </c>
      <c r="J77" s="5" t="s">
        <v>195</v>
      </c>
      <c r="K77" s="5" t="s">
        <v>404</v>
      </c>
      <c r="L77" s="5" t="s">
        <v>186</v>
      </c>
      <c r="M77" s="4" t="s">
        <v>32</v>
      </c>
      <c r="N77" s="4" t="s">
        <v>405</v>
      </c>
      <c r="O77" s="4" t="s">
        <v>784</v>
      </c>
      <c r="P77" s="19" t="str">
        <f aca="false">IFERROR(INDEX(WorkPackages!$H$5:$H$40,MATCH(B77,WorkPackages!$A$5:$A$40,0)),"")</f>
        <v>feat/wp-s5-lesson-detail</v>
      </c>
      <c r="Q77" s="18"/>
      <c r="R77" s="18"/>
      <c r="S77" s="4" t="s">
        <v>177</v>
      </c>
      <c r="T77" s="4" t="s">
        <v>785</v>
      </c>
      <c r="U77" s="5" t="s">
        <v>103</v>
      </c>
      <c r="V77" s="5" t="s">
        <v>510</v>
      </c>
      <c r="W77" s="5" t="s">
        <v>118</v>
      </c>
      <c r="X77" s="19" t="str">
        <f aca="false">IF(W77="","—",IFERROR(IF(INDEX(BackendChecklist!$H$5:$H$30,MATCH(W77,BackendChecklist!$A$5:$A$30,0))="نعم","جاهز للبدء",IF(V77="الآن (بنمط seam)","يبدأ بنمط seam — الربط ينتظر","ينتظر الباك اند")),"؟"))</f>
        <v>جاهز للبدء</v>
      </c>
    </row>
    <row r="78" customFormat="false" ht="23.25" hidden="false" customHeight="true" outlineLevel="0" collapsed="false">
      <c r="A78" s="17" t="s">
        <v>786</v>
      </c>
      <c r="B78" s="5" t="s">
        <v>228</v>
      </c>
      <c r="C78" s="19" t="str">
        <f aca="false">IFERROR(INDEX(WorkPackages!$C$5:$C$40,MATCH(B78,WorkPackages!$A$5:$A$40,0)),"")</f>
        <v>Wave 1</v>
      </c>
      <c r="D78" s="5" t="s">
        <v>787</v>
      </c>
      <c r="E78" s="5" t="s">
        <v>504</v>
      </c>
      <c r="F78" s="5" t="s">
        <v>788</v>
      </c>
      <c r="G78" s="5" t="s">
        <v>789</v>
      </c>
      <c r="H78" s="5" t="s">
        <v>782</v>
      </c>
      <c r="I78" s="5" t="s">
        <v>783</v>
      </c>
      <c r="J78" s="5" t="s">
        <v>778</v>
      </c>
      <c r="K78" s="5" t="s">
        <v>404</v>
      </c>
      <c r="L78" s="5" t="s">
        <v>186</v>
      </c>
      <c r="M78" s="4" t="s">
        <v>32</v>
      </c>
      <c r="N78" s="4" t="s">
        <v>405</v>
      </c>
      <c r="O78" s="4" t="s">
        <v>784</v>
      </c>
      <c r="P78" s="19" t="str">
        <f aca="false">IFERROR(INDEX(WorkPackages!$H$5:$H$40,MATCH(B78,WorkPackages!$A$5:$A$40,0)),"")</f>
        <v>feat/wp-s5-lesson-detail</v>
      </c>
      <c r="Q78" s="18"/>
      <c r="R78" s="18"/>
      <c r="S78" s="4" t="s">
        <v>177</v>
      </c>
      <c r="T78" s="4" t="s">
        <v>790</v>
      </c>
      <c r="U78" s="5" t="s">
        <v>103</v>
      </c>
      <c r="V78" s="5" t="s">
        <v>510</v>
      </c>
      <c r="W78" s="5" t="s">
        <v>118</v>
      </c>
      <c r="X78" s="19" t="str">
        <f aca="false">IF(W78="","—",IFERROR(IF(INDEX(BackendChecklist!$H$5:$H$30,MATCH(W78,BackendChecklist!$A$5:$A$30,0))="نعم","جاهز للبدء",IF(V78="الآن (بنمط seam)","يبدأ بنمط seam — الربط ينتظر","ينتظر الباك اند")),"؟"))</f>
        <v>جاهز للبدء</v>
      </c>
    </row>
    <row r="79" customFormat="false" ht="15" hidden="false" customHeight="true" outlineLevel="0" collapsed="false">
      <c r="A79" s="17" t="s">
        <v>791</v>
      </c>
      <c r="B79" s="5" t="s">
        <v>228</v>
      </c>
      <c r="C79" s="19" t="str">
        <f aca="false">IFERROR(INDEX(WorkPackages!$C$5:$C$40,MATCH(B79,WorkPackages!$A$5:$A$40,0)),"")</f>
        <v>Wave 1</v>
      </c>
      <c r="D79" s="5" t="s">
        <v>779</v>
      </c>
      <c r="E79" s="5" t="s">
        <v>504</v>
      </c>
      <c r="F79" s="5" t="s">
        <v>792</v>
      </c>
      <c r="G79" s="5" t="s">
        <v>793</v>
      </c>
      <c r="H79" s="5" t="s">
        <v>782</v>
      </c>
      <c r="I79" s="5" t="s">
        <v>115</v>
      </c>
      <c r="J79" s="5" t="s">
        <v>778</v>
      </c>
      <c r="K79" s="5" t="s">
        <v>404</v>
      </c>
      <c r="L79" s="5" t="s">
        <v>185</v>
      </c>
      <c r="M79" s="4" t="s">
        <v>32</v>
      </c>
      <c r="N79" s="4" t="s">
        <v>405</v>
      </c>
      <c r="O79" s="4" t="s">
        <v>784</v>
      </c>
      <c r="P79" s="19" t="str">
        <f aca="false">IFERROR(INDEX(WorkPackages!$H$5:$H$40,MATCH(B79,WorkPackages!$A$5:$A$40,0)),"")</f>
        <v>feat/wp-s5-lesson-detail</v>
      </c>
      <c r="Q79" s="18"/>
      <c r="R79" s="18"/>
      <c r="S79" s="4" t="s">
        <v>177</v>
      </c>
      <c r="T79" s="4" t="s">
        <v>794</v>
      </c>
      <c r="U79" s="5" t="s">
        <v>103</v>
      </c>
      <c r="V79" s="5" t="s">
        <v>510</v>
      </c>
      <c r="W79" s="5" t="s">
        <v>118</v>
      </c>
      <c r="X79" s="19" t="str">
        <f aca="false">IF(W79="","—",IFERROR(IF(INDEX(BackendChecklist!$H$5:$H$30,MATCH(W79,BackendChecklist!$A$5:$A$30,0))="نعم","جاهز للبدء",IF(V79="الآن (بنمط seam)","يبدأ بنمط seam — الربط ينتظر","ينتظر الباك اند")),"؟"))</f>
        <v>جاهز للبدء</v>
      </c>
    </row>
    <row r="80" customFormat="false" ht="34.5" hidden="false" customHeight="true" outlineLevel="0" collapsed="false">
      <c r="A80" s="17" t="s">
        <v>795</v>
      </c>
      <c r="B80" s="5" t="s">
        <v>228</v>
      </c>
      <c r="C80" s="19" t="str">
        <f aca="false">IFERROR(INDEX(WorkPackages!$C$5:$C$40,MATCH(B80,WorkPackages!$A$5:$A$40,0)),"")</f>
        <v>Wave 1</v>
      </c>
      <c r="D80" s="5" t="s">
        <v>779</v>
      </c>
      <c r="E80" s="5" t="s">
        <v>504</v>
      </c>
      <c r="F80" s="5" t="s">
        <v>796</v>
      </c>
      <c r="G80" s="5" t="s">
        <v>797</v>
      </c>
      <c r="H80" s="5" t="s">
        <v>798</v>
      </c>
      <c r="I80" s="5" t="s">
        <v>799</v>
      </c>
      <c r="J80" s="5" t="s">
        <v>778</v>
      </c>
      <c r="K80" s="5" t="s">
        <v>404</v>
      </c>
      <c r="L80" s="5" t="s">
        <v>186</v>
      </c>
      <c r="M80" s="4" t="s">
        <v>32</v>
      </c>
      <c r="N80" s="4" t="s">
        <v>405</v>
      </c>
      <c r="O80" s="4" t="s">
        <v>674</v>
      </c>
      <c r="P80" s="19" t="str">
        <f aca="false">IFERROR(INDEX(WorkPackages!$H$5:$H$40,MATCH(B80,WorkPackages!$A$5:$A$40,0)),"")</f>
        <v>feat/wp-s5-lesson-detail</v>
      </c>
      <c r="Q80" s="18"/>
      <c r="R80" s="18"/>
      <c r="S80" s="4" t="s">
        <v>177</v>
      </c>
      <c r="T80" s="4" t="s">
        <v>800</v>
      </c>
      <c r="U80" s="5" t="s">
        <v>177</v>
      </c>
      <c r="V80" s="5" t="s">
        <v>518</v>
      </c>
      <c r="W80" s="5"/>
      <c r="X80" s="19" t="str">
        <f aca="false">IF(W80="","—",IFERROR(IF(INDEX(BackendChecklist!$H$5:$H$30,MATCH(W80,BackendChecklist!$A$5:$A$30,0))="نعم","جاهز للبدء",IF(V80="الآن (بنمط seam)","يبدأ بنمط seam — الربط ينتظر","ينتظر الباك اند")),"؟"))</f>
        <v>—</v>
      </c>
    </row>
    <row r="81" customFormat="false" ht="34.5" hidden="false" customHeight="true" outlineLevel="0" collapsed="false">
      <c r="A81" s="17" t="s">
        <v>801</v>
      </c>
      <c r="B81" s="5" t="s">
        <v>228</v>
      </c>
      <c r="C81" s="19" t="str">
        <f aca="false">IFERROR(INDEX(WorkPackages!$C$5:$C$40,MATCH(B81,WorkPackages!$A$5:$A$40,0)),"")</f>
        <v>Wave 1</v>
      </c>
      <c r="D81" s="5" t="s">
        <v>787</v>
      </c>
      <c r="E81" s="5" t="s">
        <v>504</v>
      </c>
      <c r="F81" s="5" t="s">
        <v>802</v>
      </c>
      <c r="G81" s="5" t="s">
        <v>803</v>
      </c>
      <c r="H81" s="5" t="s">
        <v>798</v>
      </c>
      <c r="I81" s="5" t="s">
        <v>799</v>
      </c>
      <c r="J81" s="5" t="s">
        <v>795</v>
      </c>
      <c r="K81" s="5" t="s">
        <v>495</v>
      </c>
      <c r="L81" s="5" t="s">
        <v>185</v>
      </c>
      <c r="M81" s="4" t="s">
        <v>32</v>
      </c>
      <c r="N81" s="4" t="s">
        <v>405</v>
      </c>
      <c r="O81" s="4" t="s">
        <v>674</v>
      </c>
      <c r="P81" s="19" t="str">
        <f aca="false">IFERROR(INDEX(WorkPackages!$H$5:$H$40,MATCH(B81,WorkPackages!$A$5:$A$40,0)),"")</f>
        <v>feat/wp-s5-lesson-detail</v>
      </c>
      <c r="Q81" s="18"/>
      <c r="R81" s="18"/>
      <c r="S81" s="4" t="s">
        <v>177</v>
      </c>
      <c r="T81" s="4" t="s">
        <v>804</v>
      </c>
      <c r="U81" s="5" t="s">
        <v>177</v>
      </c>
      <c r="V81" s="5" t="s">
        <v>518</v>
      </c>
      <c r="W81" s="5"/>
      <c r="X81" s="19" t="str">
        <f aca="false">IF(W81="","—",IFERROR(IF(INDEX(BackendChecklist!$H$5:$H$30,MATCH(W81,BackendChecklist!$A$5:$A$30,0))="نعم","جاهز للبدء",IF(V81="الآن (بنمط seam)","يبدأ بنمط seam — الربط ينتظر","ينتظر الباك اند")),"؟"))</f>
        <v>—</v>
      </c>
    </row>
    <row r="82" customFormat="false" ht="45.75" hidden="false" customHeight="true" outlineLevel="0" collapsed="false">
      <c r="A82" s="17" t="s">
        <v>805</v>
      </c>
      <c r="B82" s="5" t="s">
        <v>228</v>
      </c>
      <c r="C82" s="19" t="str">
        <f aca="false">IFERROR(INDEX(WorkPackages!$C$5:$C$40,MATCH(B82,WorkPackages!$A$5:$A$40,0)),"")</f>
        <v>Wave 1</v>
      </c>
      <c r="D82" s="5" t="s">
        <v>787</v>
      </c>
      <c r="E82" s="5" t="s">
        <v>457</v>
      </c>
      <c r="F82" s="5" t="s">
        <v>806</v>
      </c>
      <c r="G82" s="5" t="s">
        <v>807</v>
      </c>
      <c r="H82" s="5" t="s">
        <v>808</v>
      </c>
      <c r="I82" s="5" t="s">
        <v>115</v>
      </c>
      <c r="J82" s="5" t="s">
        <v>786</v>
      </c>
      <c r="K82" s="5" t="s">
        <v>514</v>
      </c>
      <c r="L82" s="5" t="s">
        <v>185</v>
      </c>
      <c r="M82" s="4" t="s">
        <v>32</v>
      </c>
      <c r="N82" s="4" t="s">
        <v>405</v>
      </c>
      <c r="O82" s="4" t="s">
        <v>674</v>
      </c>
      <c r="P82" s="19" t="str">
        <f aca="false">IFERROR(INDEX(WorkPackages!$H$5:$H$40,MATCH(B82,WorkPackages!$A$5:$A$40,0)),"")</f>
        <v>feat/wp-s5-lesson-detail</v>
      </c>
      <c r="Q82" s="18"/>
      <c r="R82" s="18"/>
      <c r="S82" s="4" t="s">
        <v>177</v>
      </c>
      <c r="T82" s="4" t="s">
        <v>809</v>
      </c>
      <c r="U82" s="5" t="s">
        <v>177</v>
      </c>
      <c r="V82" s="5" t="s">
        <v>518</v>
      </c>
      <c r="W82" s="5"/>
      <c r="X82" s="19" t="str">
        <f aca="false">IF(W82="","—",IFERROR(IF(INDEX(BackendChecklist!$H$5:$H$30,MATCH(W82,BackendChecklist!$A$5:$A$30,0))="نعم","جاهز للبدء",IF(V82="الآن (بنمط seam)","يبدأ بنمط seam — الربط ينتظر","ينتظر الباك اند")),"؟"))</f>
        <v>—</v>
      </c>
    </row>
    <row r="83" customFormat="false" ht="23.25" hidden="false" customHeight="true" outlineLevel="0" collapsed="false">
      <c r="A83" s="17" t="s">
        <v>810</v>
      </c>
      <c r="B83" s="5" t="s">
        <v>230</v>
      </c>
      <c r="C83" s="19" t="str">
        <f aca="false">IFERROR(INDEX(WorkPackages!$C$5:$C$40,MATCH(B83,WorkPackages!$A$5:$A$40,0)),"")</f>
        <v>Wave 1</v>
      </c>
      <c r="D83" s="5" t="s">
        <v>355</v>
      </c>
      <c r="E83" s="5" t="s">
        <v>504</v>
      </c>
      <c r="F83" s="5" t="s">
        <v>811</v>
      </c>
      <c r="G83" s="5" t="s">
        <v>812</v>
      </c>
      <c r="H83" s="5" t="s">
        <v>813</v>
      </c>
      <c r="I83" s="5" t="s">
        <v>814</v>
      </c>
      <c r="J83" s="5" t="s">
        <v>195</v>
      </c>
      <c r="K83" s="5" t="s">
        <v>404</v>
      </c>
      <c r="L83" s="5" t="s">
        <v>186</v>
      </c>
      <c r="M83" s="4" t="s">
        <v>32</v>
      </c>
      <c r="N83" s="4" t="s">
        <v>405</v>
      </c>
      <c r="O83" s="4" t="s">
        <v>784</v>
      </c>
      <c r="P83" s="19" t="str">
        <f aca="false">IFERROR(INDEX(WorkPackages!$H$5:$H$40,MATCH(B83,WorkPackages!$A$5:$A$40,0)),"")</f>
        <v>feat/wp-s6-enrolled-course</v>
      </c>
      <c r="Q83" s="18"/>
      <c r="R83" s="18"/>
      <c r="S83" s="4" t="s">
        <v>177</v>
      </c>
      <c r="T83" s="4" t="s">
        <v>815</v>
      </c>
      <c r="U83" s="5" t="s">
        <v>103</v>
      </c>
      <c r="V83" s="5" t="s">
        <v>510</v>
      </c>
      <c r="W83" s="5" t="s">
        <v>123</v>
      </c>
      <c r="X83" s="19" t="str">
        <f aca="false">IF(W83="","—",IFERROR(IF(INDEX(BackendChecklist!$H$5:$H$30,MATCH(W83,BackendChecklist!$A$5:$A$30,0))="نعم","جاهز للبدء",IF(V83="الآن (بنمط seam)","يبدأ بنمط seam — الربط ينتظر","ينتظر الباك اند")),"؟"))</f>
        <v>جاهز للبدء</v>
      </c>
    </row>
    <row r="84" customFormat="false" ht="45.75" hidden="false" customHeight="true" outlineLevel="0" collapsed="false">
      <c r="A84" s="17" t="s">
        <v>816</v>
      </c>
      <c r="B84" s="5" t="s">
        <v>230</v>
      </c>
      <c r="C84" s="19" t="str">
        <f aca="false">IFERROR(INDEX(WorkPackages!$C$5:$C$40,MATCH(B84,WorkPackages!$A$5:$A$40,0)),"")</f>
        <v>Wave 1</v>
      </c>
      <c r="D84" s="5" t="s">
        <v>355</v>
      </c>
      <c r="E84" s="5" t="s">
        <v>504</v>
      </c>
      <c r="F84" s="5" t="s">
        <v>817</v>
      </c>
      <c r="G84" s="5" t="s">
        <v>818</v>
      </c>
      <c r="H84" s="5" t="s">
        <v>819</v>
      </c>
      <c r="I84" s="5" t="s">
        <v>820</v>
      </c>
      <c r="J84" s="5" t="s">
        <v>195</v>
      </c>
      <c r="K84" s="5" t="s">
        <v>404</v>
      </c>
      <c r="L84" s="5" t="s">
        <v>185</v>
      </c>
      <c r="M84" s="4" t="s">
        <v>32</v>
      </c>
      <c r="N84" s="4" t="s">
        <v>405</v>
      </c>
      <c r="O84" s="4" t="s">
        <v>674</v>
      </c>
      <c r="P84" s="19" t="str">
        <f aca="false">IFERROR(INDEX(WorkPackages!$H$5:$H$40,MATCH(B84,WorkPackages!$A$5:$A$40,0)),"")</f>
        <v>feat/wp-s6-enrolled-course</v>
      </c>
      <c r="Q84" s="18"/>
      <c r="R84" s="18"/>
      <c r="S84" s="4" t="s">
        <v>177</v>
      </c>
      <c r="T84" s="4" t="s">
        <v>821</v>
      </c>
      <c r="U84" s="5" t="s">
        <v>177</v>
      </c>
      <c r="V84" s="5" t="s">
        <v>518</v>
      </c>
      <c r="W84" s="5"/>
      <c r="X84" s="19" t="str">
        <f aca="false">IF(W84="","—",IFERROR(IF(INDEX(BackendChecklist!$H$5:$H$30,MATCH(W84,BackendChecklist!$A$5:$A$30,0))="نعم","جاهز للبدء",IF(V84="الآن (بنمط seam)","يبدأ بنمط seam — الربط ينتظر","ينتظر الباك اند")),"؟"))</f>
        <v>—</v>
      </c>
    </row>
    <row r="85" customFormat="false" ht="15" hidden="false" customHeight="true" outlineLevel="0" collapsed="false">
      <c r="A85" s="17" t="s">
        <v>822</v>
      </c>
      <c r="B85" s="5" t="s">
        <v>230</v>
      </c>
      <c r="C85" s="19" t="str">
        <f aca="false">IFERROR(INDEX(WorkPackages!$C$5:$C$40,MATCH(B85,WorkPackages!$A$5:$A$40,0)),"")</f>
        <v>Wave 1</v>
      </c>
      <c r="D85" s="5" t="s">
        <v>355</v>
      </c>
      <c r="E85" s="5" t="s">
        <v>504</v>
      </c>
      <c r="F85" s="5" t="s">
        <v>823</v>
      </c>
      <c r="G85" s="5" t="s">
        <v>824</v>
      </c>
      <c r="H85" s="5" t="s">
        <v>813</v>
      </c>
      <c r="I85" s="5" t="s">
        <v>115</v>
      </c>
      <c r="J85" s="5" t="s">
        <v>810</v>
      </c>
      <c r="K85" s="5" t="s">
        <v>404</v>
      </c>
      <c r="L85" s="5" t="s">
        <v>185</v>
      </c>
      <c r="M85" s="4" t="s">
        <v>32</v>
      </c>
      <c r="N85" s="4" t="s">
        <v>405</v>
      </c>
      <c r="O85" s="4" t="s">
        <v>784</v>
      </c>
      <c r="P85" s="19" t="str">
        <f aca="false">IFERROR(INDEX(WorkPackages!$H$5:$H$40,MATCH(B85,WorkPackages!$A$5:$A$40,0)),"")</f>
        <v>feat/wp-s6-enrolled-course</v>
      </c>
      <c r="Q85" s="18"/>
      <c r="R85" s="18"/>
      <c r="S85" s="4" t="s">
        <v>177</v>
      </c>
      <c r="T85" s="4" t="s">
        <v>825</v>
      </c>
      <c r="U85" s="5" t="s">
        <v>103</v>
      </c>
      <c r="V85" s="5" t="s">
        <v>510</v>
      </c>
      <c r="W85" s="5" t="s">
        <v>123</v>
      </c>
      <c r="X85" s="19" t="str">
        <f aca="false">IF(W85="","—",IFERROR(IF(INDEX(BackendChecklist!$H$5:$H$30,MATCH(W85,BackendChecklist!$A$5:$A$30,0))="نعم","جاهز للبدء",IF(V85="الآن (بنمط seam)","يبدأ بنمط seam — الربط ينتظر","ينتظر الباك اند")),"؟"))</f>
        <v>جاهز للبدء</v>
      </c>
    </row>
    <row r="86" customFormat="false" ht="15" hidden="false" customHeight="true" outlineLevel="0" collapsed="false">
      <c r="A86" s="17" t="s">
        <v>826</v>
      </c>
      <c r="B86" s="5" t="s">
        <v>230</v>
      </c>
      <c r="C86" s="19" t="str">
        <f aca="false">IFERROR(INDEX(WorkPackages!$C$5:$C$40,MATCH(B86,WorkPackages!$A$5:$A$40,0)),"")</f>
        <v>Wave 1</v>
      </c>
      <c r="D86" s="5" t="s">
        <v>355</v>
      </c>
      <c r="E86" s="5" t="s">
        <v>457</v>
      </c>
      <c r="F86" s="5" t="s">
        <v>774</v>
      </c>
      <c r="G86" s="5" t="s">
        <v>827</v>
      </c>
      <c r="H86" s="5" t="s">
        <v>828</v>
      </c>
      <c r="I86" s="5" t="s">
        <v>115</v>
      </c>
      <c r="J86" s="5" t="s">
        <v>810</v>
      </c>
      <c r="K86" s="5" t="s">
        <v>514</v>
      </c>
      <c r="L86" s="5" t="s">
        <v>185</v>
      </c>
      <c r="M86" s="4" t="s">
        <v>32</v>
      </c>
      <c r="N86" s="4" t="s">
        <v>405</v>
      </c>
      <c r="O86" s="4" t="s">
        <v>784</v>
      </c>
      <c r="P86" s="19" t="str">
        <f aca="false">IFERROR(INDEX(WorkPackages!$H$5:$H$40,MATCH(B86,WorkPackages!$A$5:$A$40,0)),"")</f>
        <v>feat/wp-s6-enrolled-course</v>
      </c>
      <c r="Q86" s="18"/>
      <c r="R86" s="18"/>
      <c r="S86" s="4" t="s">
        <v>177</v>
      </c>
      <c r="T86" s="4" t="s">
        <v>829</v>
      </c>
      <c r="U86" s="5" t="s">
        <v>103</v>
      </c>
      <c r="V86" s="5" t="s">
        <v>510</v>
      </c>
      <c r="W86" s="5" t="s">
        <v>123</v>
      </c>
      <c r="X86" s="19" t="str">
        <f aca="false">IF(W86="","—",IFERROR(IF(INDEX(BackendChecklist!$H$5:$H$30,MATCH(W86,BackendChecklist!$A$5:$A$30,0))="نعم","جاهز للبدء",IF(V86="الآن (بنمط seam)","يبدأ بنمط seam — الربط ينتظر","ينتظر الباك اند")),"؟"))</f>
        <v>جاهز للبدء</v>
      </c>
    </row>
    <row r="87" customFormat="false" ht="15" hidden="false" customHeight="true" outlineLevel="0" collapsed="false">
      <c r="A87" s="17" t="s">
        <v>830</v>
      </c>
      <c r="B87" s="5" t="s">
        <v>232</v>
      </c>
      <c r="C87" s="19" t="str">
        <f aca="false">IFERROR(INDEX(WorkPackages!$C$5:$C$40,MATCH(B87,WorkPackages!$A$5:$A$40,0)),"")</f>
        <v>Wave 1</v>
      </c>
      <c r="D87" s="5" t="s">
        <v>358</v>
      </c>
      <c r="E87" s="5" t="s">
        <v>504</v>
      </c>
      <c r="F87" s="5" t="s">
        <v>831</v>
      </c>
      <c r="G87" s="5" t="s">
        <v>832</v>
      </c>
      <c r="H87" s="5" t="s">
        <v>833</v>
      </c>
      <c r="I87" s="5" t="s">
        <v>834</v>
      </c>
      <c r="J87" s="5" t="s">
        <v>195</v>
      </c>
      <c r="K87" s="5" t="s">
        <v>404</v>
      </c>
      <c r="L87" s="5" t="s">
        <v>186</v>
      </c>
      <c r="M87" s="4" t="s">
        <v>32</v>
      </c>
      <c r="N87" s="4" t="s">
        <v>405</v>
      </c>
      <c r="O87" s="4" t="s">
        <v>784</v>
      </c>
      <c r="P87" s="19" t="str">
        <f aca="false">IFERROR(INDEX(WorkPackages!$H$5:$H$40,MATCH(B87,WorkPackages!$A$5:$A$40,0)),"")</f>
        <v>feat/wp-s7-attendance</v>
      </c>
      <c r="Q87" s="18"/>
      <c r="R87" s="18"/>
      <c r="S87" s="4" t="s">
        <v>177</v>
      </c>
      <c r="T87" s="4" t="s">
        <v>835</v>
      </c>
      <c r="U87" s="5" t="s">
        <v>103</v>
      </c>
      <c r="V87" s="5" t="s">
        <v>510</v>
      </c>
      <c r="W87" s="5" t="s">
        <v>128</v>
      </c>
      <c r="X87" s="19" t="str">
        <f aca="false">IF(W87="","—",IFERROR(IF(INDEX(BackendChecklist!$H$5:$H$30,MATCH(W87,BackendChecklist!$A$5:$A$30,0))="نعم","جاهز للبدء",IF(V87="الآن (بنمط seam)","يبدأ بنمط seam — الربط ينتظر","ينتظر الباك اند")),"؟"))</f>
        <v>جاهز للبدء</v>
      </c>
    </row>
    <row r="88" customFormat="false" ht="45.75" hidden="false" customHeight="true" outlineLevel="0" collapsed="false">
      <c r="A88" s="17" t="s">
        <v>836</v>
      </c>
      <c r="B88" s="5" t="s">
        <v>232</v>
      </c>
      <c r="C88" s="19" t="str">
        <f aca="false">IFERROR(INDEX(WorkPackages!$C$5:$C$40,MATCH(B88,WorkPackages!$A$5:$A$40,0)),"")</f>
        <v>Wave 1</v>
      </c>
      <c r="D88" s="5" t="s">
        <v>358</v>
      </c>
      <c r="E88" s="5" t="s">
        <v>504</v>
      </c>
      <c r="F88" s="5" t="s">
        <v>837</v>
      </c>
      <c r="G88" s="5" t="s">
        <v>838</v>
      </c>
      <c r="H88" s="5" t="s">
        <v>833</v>
      </c>
      <c r="I88" s="5" t="s">
        <v>839</v>
      </c>
      <c r="J88" s="5" t="s">
        <v>830</v>
      </c>
      <c r="K88" s="5" t="s">
        <v>404</v>
      </c>
      <c r="L88" s="5" t="s">
        <v>185</v>
      </c>
      <c r="M88" s="4" t="s">
        <v>32</v>
      </c>
      <c r="N88" s="4" t="s">
        <v>405</v>
      </c>
      <c r="O88" s="4" t="s">
        <v>674</v>
      </c>
      <c r="P88" s="19" t="str">
        <f aca="false">IFERROR(INDEX(WorkPackages!$H$5:$H$40,MATCH(B88,WorkPackages!$A$5:$A$40,0)),"")</f>
        <v>feat/wp-s7-attendance</v>
      </c>
      <c r="Q88" s="18"/>
      <c r="R88" s="18"/>
      <c r="S88" s="4" t="s">
        <v>177</v>
      </c>
      <c r="T88" s="4" t="s">
        <v>840</v>
      </c>
      <c r="U88" s="5" t="s">
        <v>177</v>
      </c>
      <c r="V88" s="5" t="s">
        <v>518</v>
      </c>
      <c r="W88" s="5"/>
      <c r="X88" s="19" t="str">
        <f aca="false">IF(W88="","—",IFERROR(IF(INDEX(BackendChecklist!$H$5:$H$30,MATCH(W88,BackendChecklist!$A$5:$A$30,0))="نعم","جاهز للبدء",IF(V88="الآن (بنمط seam)","يبدأ بنمط seam — الربط ينتظر","ينتظر الباك اند")),"؟"))</f>
        <v>—</v>
      </c>
    </row>
    <row r="89" customFormat="false" ht="15" hidden="false" customHeight="true" outlineLevel="0" collapsed="false">
      <c r="A89" s="17" t="s">
        <v>841</v>
      </c>
      <c r="B89" s="5" t="s">
        <v>232</v>
      </c>
      <c r="C89" s="19" t="str">
        <f aca="false">IFERROR(INDEX(WorkPackages!$C$5:$C$40,MATCH(B89,WorkPackages!$A$5:$A$40,0)),"")</f>
        <v>Wave 1</v>
      </c>
      <c r="D89" s="5" t="s">
        <v>358</v>
      </c>
      <c r="E89" s="5" t="s">
        <v>504</v>
      </c>
      <c r="F89" s="5" t="s">
        <v>842</v>
      </c>
      <c r="G89" s="5" t="s">
        <v>843</v>
      </c>
      <c r="H89" s="5" t="s">
        <v>833</v>
      </c>
      <c r="I89" s="5" t="s">
        <v>834</v>
      </c>
      <c r="J89" s="5" t="s">
        <v>830</v>
      </c>
      <c r="K89" s="5" t="s">
        <v>514</v>
      </c>
      <c r="L89" s="5" t="s">
        <v>185</v>
      </c>
      <c r="M89" s="4" t="s">
        <v>32</v>
      </c>
      <c r="N89" s="4" t="s">
        <v>405</v>
      </c>
      <c r="O89" s="4" t="s">
        <v>784</v>
      </c>
      <c r="P89" s="19" t="str">
        <f aca="false">IFERROR(INDEX(WorkPackages!$H$5:$H$40,MATCH(B89,WorkPackages!$A$5:$A$40,0)),"")</f>
        <v>feat/wp-s7-attendance</v>
      </c>
      <c r="Q89" s="18"/>
      <c r="R89" s="18"/>
      <c r="S89" s="4" t="s">
        <v>177</v>
      </c>
      <c r="T89" s="4" t="s">
        <v>844</v>
      </c>
      <c r="U89" s="5" t="s">
        <v>103</v>
      </c>
      <c r="V89" s="5" t="s">
        <v>510</v>
      </c>
      <c r="W89" s="5" t="s">
        <v>128</v>
      </c>
      <c r="X89" s="19" t="str">
        <f aca="false">IF(W89="","—",IFERROR(IF(INDEX(BackendChecklist!$H$5:$H$30,MATCH(W89,BackendChecklist!$A$5:$A$30,0))="نعم","جاهز للبدء",IF(V89="الآن (بنمط seam)","يبدأ بنمط seam — الربط ينتظر","ينتظر الباك اند")),"؟"))</f>
        <v>جاهز للبدء</v>
      </c>
    </row>
    <row r="90" customFormat="false" ht="15" hidden="false" customHeight="true" outlineLevel="0" collapsed="false">
      <c r="A90" s="17" t="s">
        <v>845</v>
      </c>
      <c r="B90" s="5" t="s">
        <v>232</v>
      </c>
      <c r="C90" s="19" t="str">
        <f aca="false">IFERROR(INDEX(WorkPackages!$C$5:$C$40,MATCH(B90,WorkPackages!$A$5:$A$40,0)),"")</f>
        <v>Wave 1</v>
      </c>
      <c r="D90" s="5" t="s">
        <v>358</v>
      </c>
      <c r="E90" s="5" t="s">
        <v>504</v>
      </c>
      <c r="F90" s="5" t="s">
        <v>846</v>
      </c>
      <c r="G90" s="5" t="s">
        <v>847</v>
      </c>
      <c r="H90" s="5" t="s">
        <v>833</v>
      </c>
      <c r="I90" s="5" t="s">
        <v>115</v>
      </c>
      <c r="J90" s="5" t="s">
        <v>830</v>
      </c>
      <c r="K90" s="5" t="s">
        <v>404</v>
      </c>
      <c r="L90" s="5" t="s">
        <v>185</v>
      </c>
      <c r="M90" s="4" t="s">
        <v>32</v>
      </c>
      <c r="N90" s="4" t="s">
        <v>405</v>
      </c>
      <c r="O90" s="4" t="s">
        <v>784</v>
      </c>
      <c r="P90" s="19" t="str">
        <f aca="false">IFERROR(INDEX(WorkPackages!$H$5:$H$40,MATCH(B90,WorkPackages!$A$5:$A$40,0)),"")</f>
        <v>feat/wp-s7-attendance</v>
      </c>
      <c r="Q90" s="18"/>
      <c r="R90" s="18"/>
      <c r="S90" s="4" t="s">
        <v>177</v>
      </c>
      <c r="T90" s="4" t="s">
        <v>848</v>
      </c>
      <c r="U90" s="5" t="s">
        <v>103</v>
      </c>
      <c r="V90" s="5" t="s">
        <v>510</v>
      </c>
      <c r="W90" s="5" t="s">
        <v>128</v>
      </c>
      <c r="X90" s="19" t="str">
        <f aca="false">IF(W90="","—",IFERROR(IF(INDEX(BackendChecklist!$H$5:$H$30,MATCH(W90,BackendChecklist!$A$5:$A$30,0))="نعم","جاهز للبدء",IF(V90="الآن (بنمط seam)","يبدأ بنمط seam — الربط ينتظر","ينتظر الباك اند")),"؟"))</f>
        <v>جاهز للبدء</v>
      </c>
    </row>
    <row r="91" customFormat="false" ht="15" hidden="false" customHeight="true" outlineLevel="0" collapsed="false">
      <c r="A91" s="17" t="s">
        <v>849</v>
      </c>
      <c r="B91" s="5" t="s">
        <v>232</v>
      </c>
      <c r="C91" s="19" t="str">
        <f aca="false">IFERROR(INDEX(WorkPackages!$C$5:$C$40,MATCH(B91,WorkPackages!$A$5:$A$40,0)),"")</f>
        <v>Wave 1</v>
      </c>
      <c r="D91" s="5" t="s">
        <v>358</v>
      </c>
      <c r="E91" s="5" t="s">
        <v>457</v>
      </c>
      <c r="F91" s="5" t="s">
        <v>774</v>
      </c>
      <c r="G91" s="5" t="s">
        <v>850</v>
      </c>
      <c r="H91" s="5" t="s">
        <v>851</v>
      </c>
      <c r="I91" s="5" t="s">
        <v>115</v>
      </c>
      <c r="J91" s="5" t="s">
        <v>830</v>
      </c>
      <c r="K91" s="5" t="s">
        <v>514</v>
      </c>
      <c r="L91" s="5" t="s">
        <v>185</v>
      </c>
      <c r="M91" s="4" t="s">
        <v>32</v>
      </c>
      <c r="N91" s="4" t="s">
        <v>405</v>
      </c>
      <c r="O91" s="4" t="s">
        <v>784</v>
      </c>
      <c r="P91" s="19" t="str">
        <f aca="false">IFERROR(INDEX(WorkPackages!$H$5:$H$40,MATCH(B91,WorkPackages!$A$5:$A$40,0)),"")</f>
        <v>feat/wp-s7-attendance</v>
      </c>
      <c r="Q91" s="18"/>
      <c r="R91" s="18"/>
      <c r="S91" s="4" t="s">
        <v>177</v>
      </c>
      <c r="T91" s="4" t="s">
        <v>852</v>
      </c>
      <c r="U91" s="5" t="s">
        <v>103</v>
      </c>
      <c r="V91" s="5" t="s">
        <v>510</v>
      </c>
      <c r="W91" s="5" t="s">
        <v>128</v>
      </c>
      <c r="X91" s="19" t="str">
        <f aca="false">IF(W91="","—",IFERROR(IF(INDEX(BackendChecklist!$H$5:$H$30,MATCH(W91,BackendChecklist!$A$5:$A$30,0))="نعم","جاهز للبدء",IF(V91="الآن (بنمط seam)","يبدأ بنمط seam — الربط ينتظر","ينتظر الباك اند")),"؟"))</f>
        <v>جاهز للبدء</v>
      </c>
    </row>
    <row r="92" customFormat="false" ht="15" hidden="false" customHeight="true" outlineLevel="0" collapsed="false">
      <c r="A92" s="17" t="s">
        <v>853</v>
      </c>
      <c r="B92" s="5" t="s">
        <v>234</v>
      </c>
      <c r="C92" s="19" t="str">
        <f aca="false">IFERROR(INDEX(WorkPackages!$C$5:$C$40,MATCH(B92,WorkPackages!$A$5:$A$40,0)),"")</f>
        <v>Wave 1</v>
      </c>
      <c r="D92" s="5" t="s">
        <v>361</v>
      </c>
      <c r="E92" s="5" t="s">
        <v>504</v>
      </c>
      <c r="F92" s="5" t="s">
        <v>854</v>
      </c>
      <c r="G92" s="5" t="s">
        <v>855</v>
      </c>
      <c r="H92" s="5" t="s">
        <v>856</v>
      </c>
      <c r="I92" s="5" t="s">
        <v>857</v>
      </c>
      <c r="J92" s="5" t="s">
        <v>195</v>
      </c>
      <c r="K92" s="5" t="s">
        <v>404</v>
      </c>
      <c r="L92" s="5" t="s">
        <v>186</v>
      </c>
      <c r="M92" s="4" t="s">
        <v>32</v>
      </c>
      <c r="N92" s="4" t="s">
        <v>405</v>
      </c>
      <c r="O92" s="4" t="s">
        <v>784</v>
      </c>
      <c r="P92" s="19" t="str">
        <f aca="false">IFERROR(INDEX(WorkPackages!$H$5:$H$40,MATCH(B92,WorkPackages!$A$5:$A$40,0)),"")</f>
        <v>feat/wp-s8-exam-results</v>
      </c>
      <c r="Q92" s="18"/>
      <c r="R92" s="18"/>
      <c r="S92" s="4" t="s">
        <v>177</v>
      </c>
      <c r="T92" s="4" t="s">
        <v>858</v>
      </c>
      <c r="U92" s="5" t="s">
        <v>103</v>
      </c>
      <c r="V92" s="5" t="s">
        <v>510</v>
      </c>
      <c r="W92" s="5" t="s">
        <v>133</v>
      </c>
      <c r="X92" s="19" t="str">
        <f aca="false">IF(W92="","—",IFERROR(IF(INDEX(BackendChecklist!$H$5:$H$30,MATCH(W92,BackendChecklist!$A$5:$A$30,0))="نعم","جاهز للبدء",IF(V92="الآن (بنمط seam)","يبدأ بنمط seam — الربط ينتظر","ينتظر الباك اند")),"؟"))</f>
        <v>جاهز للبدء</v>
      </c>
    </row>
    <row r="93" customFormat="false" ht="15" hidden="false" customHeight="true" outlineLevel="0" collapsed="false">
      <c r="A93" s="17" t="s">
        <v>859</v>
      </c>
      <c r="B93" s="5" t="s">
        <v>234</v>
      </c>
      <c r="C93" s="19" t="str">
        <f aca="false">IFERROR(INDEX(WorkPackages!$C$5:$C$40,MATCH(B93,WorkPackages!$A$5:$A$40,0)),"")</f>
        <v>Wave 1</v>
      </c>
      <c r="D93" s="5" t="s">
        <v>361</v>
      </c>
      <c r="E93" s="5" t="s">
        <v>504</v>
      </c>
      <c r="F93" s="5" t="s">
        <v>860</v>
      </c>
      <c r="G93" s="5" t="s">
        <v>861</v>
      </c>
      <c r="H93" s="5" t="s">
        <v>856</v>
      </c>
      <c r="I93" s="5" t="s">
        <v>857</v>
      </c>
      <c r="J93" s="5" t="s">
        <v>853</v>
      </c>
      <c r="K93" s="5" t="s">
        <v>514</v>
      </c>
      <c r="L93" s="5" t="s">
        <v>185</v>
      </c>
      <c r="M93" s="4" t="s">
        <v>32</v>
      </c>
      <c r="N93" s="4" t="s">
        <v>405</v>
      </c>
      <c r="O93" s="4" t="s">
        <v>784</v>
      </c>
      <c r="P93" s="19" t="str">
        <f aca="false">IFERROR(INDEX(WorkPackages!$H$5:$H$40,MATCH(B93,WorkPackages!$A$5:$A$40,0)),"")</f>
        <v>feat/wp-s8-exam-results</v>
      </c>
      <c r="Q93" s="18"/>
      <c r="R93" s="18"/>
      <c r="S93" s="4" t="s">
        <v>177</v>
      </c>
      <c r="T93" s="4" t="s">
        <v>862</v>
      </c>
      <c r="U93" s="5" t="s">
        <v>103</v>
      </c>
      <c r="V93" s="5" t="s">
        <v>510</v>
      </c>
      <c r="W93" s="5" t="s">
        <v>133</v>
      </c>
      <c r="X93" s="19" t="str">
        <f aca="false">IF(W93="","—",IFERROR(IF(INDEX(BackendChecklist!$H$5:$H$30,MATCH(W93,BackendChecklist!$A$5:$A$30,0))="نعم","جاهز للبدء",IF(V93="الآن (بنمط seam)","يبدأ بنمط seam — الربط ينتظر","ينتظر الباك اند")),"؟"))</f>
        <v>جاهز للبدء</v>
      </c>
    </row>
    <row r="94" customFormat="false" ht="15" hidden="false" customHeight="true" outlineLevel="0" collapsed="false">
      <c r="A94" s="17" t="s">
        <v>863</v>
      </c>
      <c r="B94" s="5" t="s">
        <v>234</v>
      </c>
      <c r="C94" s="19" t="str">
        <f aca="false">IFERROR(INDEX(WorkPackages!$C$5:$C$40,MATCH(B94,WorkPackages!$A$5:$A$40,0)),"")</f>
        <v>Wave 1</v>
      </c>
      <c r="D94" s="5" t="s">
        <v>361</v>
      </c>
      <c r="E94" s="5" t="s">
        <v>504</v>
      </c>
      <c r="F94" s="5" t="s">
        <v>846</v>
      </c>
      <c r="G94" s="5" t="s">
        <v>864</v>
      </c>
      <c r="H94" s="5" t="s">
        <v>856</v>
      </c>
      <c r="I94" s="5" t="s">
        <v>115</v>
      </c>
      <c r="J94" s="5" t="s">
        <v>853</v>
      </c>
      <c r="K94" s="5" t="s">
        <v>404</v>
      </c>
      <c r="L94" s="5" t="s">
        <v>185</v>
      </c>
      <c r="M94" s="4" t="s">
        <v>32</v>
      </c>
      <c r="N94" s="4" t="s">
        <v>405</v>
      </c>
      <c r="O94" s="4" t="s">
        <v>784</v>
      </c>
      <c r="P94" s="19" t="str">
        <f aca="false">IFERROR(INDEX(WorkPackages!$H$5:$H$40,MATCH(B94,WorkPackages!$A$5:$A$40,0)),"")</f>
        <v>feat/wp-s8-exam-results</v>
      </c>
      <c r="Q94" s="18"/>
      <c r="R94" s="18"/>
      <c r="S94" s="4" t="s">
        <v>177</v>
      </c>
      <c r="T94" s="4" t="s">
        <v>865</v>
      </c>
      <c r="U94" s="5" t="s">
        <v>103</v>
      </c>
      <c r="V94" s="5" t="s">
        <v>510</v>
      </c>
      <c r="W94" s="5" t="s">
        <v>133</v>
      </c>
      <c r="X94" s="19" t="str">
        <f aca="false">IF(W94="","—",IFERROR(IF(INDEX(BackendChecklist!$H$5:$H$30,MATCH(W94,BackendChecklist!$A$5:$A$30,0))="نعم","جاهز للبدء",IF(V94="الآن (بنمط seam)","يبدأ بنمط seam — الربط ينتظر","ينتظر الباك اند")),"؟"))</f>
        <v>جاهز للبدء</v>
      </c>
    </row>
    <row r="95" customFormat="false" ht="34.5" hidden="false" customHeight="true" outlineLevel="0" collapsed="false">
      <c r="A95" s="17" t="s">
        <v>866</v>
      </c>
      <c r="B95" s="5" t="s">
        <v>234</v>
      </c>
      <c r="C95" s="19" t="str">
        <f aca="false">IFERROR(INDEX(WorkPackages!$C$5:$C$40,MATCH(B95,WorkPackages!$A$5:$A$40,0)),"")</f>
        <v>Wave 1</v>
      </c>
      <c r="D95" s="5" t="s">
        <v>361</v>
      </c>
      <c r="E95" s="5" t="s">
        <v>457</v>
      </c>
      <c r="F95" s="5" t="s">
        <v>867</v>
      </c>
      <c r="G95" s="5" t="s">
        <v>868</v>
      </c>
      <c r="H95" s="5" t="s">
        <v>869</v>
      </c>
      <c r="I95" s="5" t="s">
        <v>115</v>
      </c>
      <c r="J95" s="5" t="s">
        <v>853</v>
      </c>
      <c r="K95" s="5" t="s">
        <v>514</v>
      </c>
      <c r="L95" s="5" t="s">
        <v>185</v>
      </c>
      <c r="M95" s="4" t="s">
        <v>32</v>
      </c>
      <c r="N95" s="4" t="s">
        <v>405</v>
      </c>
      <c r="O95" s="4" t="s">
        <v>674</v>
      </c>
      <c r="P95" s="19" t="str">
        <f aca="false">IFERROR(INDEX(WorkPackages!$H$5:$H$40,MATCH(B95,WorkPackages!$A$5:$A$40,0)),"")</f>
        <v>feat/wp-s8-exam-results</v>
      </c>
      <c r="Q95" s="18"/>
      <c r="R95" s="18"/>
      <c r="S95" s="4" t="s">
        <v>177</v>
      </c>
      <c r="T95" s="4" t="s">
        <v>870</v>
      </c>
      <c r="U95" s="5" t="s">
        <v>177</v>
      </c>
      <c r="V95" s="5" t="s">
        <v>518</v>
      </c>
      <c r="W95" s="5"/>
      <c r="X95" s="19" t="str">
        <f aca="false">IF(W95="","—",IFERROR(IF(INDEX(BackendChecklist!$H$5:$H$30,MATCH(W95,BackendChecklist!$A$5:$A$30,0))="نعم","جاهز للبدء",IF(V95="الآن (بنمط seam)","يبدأ بنمط seam — الربط ينتظر","ينتظر الباك اند")),"؟"))</f>
        <v>—</v>
      </c>
    </row>
    <row r="96" customFormat="false" ht="23.25" hidden="false" customHeight="true" outlineLevel="0" collapsed="false">
      <c r="A96" s="17" t="s">
        <v>871</v>
      </c>
      <c r="B96" s="5" t="s">
        <v>236</v>
      </c>
      <c r="C96" s="19" t="str">
        <f aca="false">IFERROR(INDEX(WorkPackages!$C$5:$C$40,MATCH(B96,WorkPackages!$A$5:$A$40,0)),"")</f>
        <v>Wave 1</v>
      </c>
      <c r="D96" s="5" t="s">
        <v>364</v>
      </c>
      <c r="E96" s="5" t="s">
        <v>504</v>
      </c>
      <c r="F96" s="5" t="s">
        <v>872</v>
      </c>
      <c r="G96" s="5" t="s">
        <v>873</v>
      </c>
      <c r="H96" s="5" t="s">
        <v>874</v>
      </c>
      <c r="I96" s="5" t="s">
        <v>875</v>
      </c>
      <c r="J96" s="5" t="s">
        <v>195</v>
      </c>
      <c r="K96" s="5" t="s">
        <v>404</v>
      </c>
      <c r="L96" s="5" t="s">
        <v>185</v>
      </c>
      <c r="M96" s="4" t="s">
        <v>32</v>
      </c>
      <c r="N96" s="4" t="s">
        <v>515</v>
      </c>
      <c r="O96" s="4" t="s">
        <v>516</v>
      </c>
      <c r="P96" s="19" t="str">
        <f aca="false">IFERROR(INDEX(WorkPackages!$H$5:$H$40,MATCH(B96,WorkPackages!$A$5:$A$40,0)),"")</f>
        <v>feat/wp-s9-progress</v>
      </c>
      <c r="Q96" s="18"/>
      <c r="R96" s="18"/>
      <c r="S96" s="4" t="s">
        <v>177</v>
      </c>
      <c r="T96" s="4" t="s">
        <v>876</v>
      </c>
      <c r="U96" s="5" t="s">
        <v>177</v>
      </c>
      <c r="V96" s="5" t="s">
        <v>518</v>
      </c>
      <c r="W96" s="5"/>
      <c r="X96" s="19" t="str">
        <f aca="false">IF(W96="","—",IFERROR(IF(INDEX(BackendChecklist!$H$5:$H$30,MATCH(W96,BackendChecklist!$A$5:$A$30,0))="نعم","جاهز للبدء",IF(V96="الآن (بنمط seam)","يبدأ بنمط seam — الربط ينتظر","ينتظر الباك اند")),"؟"))</f>
        <v>—</v>
      </c>
    </row>
    <row r="97" customFormat="false" ht="23.25" hidden="false" customHeight="true" outlineLevel="0" collapsed="false">
      <c r="A97" s="17" t="s">
        <v>877</v>
      </c>
      <c r="B97" s="5" t="s">
        <v>236</v>
      </c>
      <c r="C97" s="19" t="str">
        <f aca="false">IFERROR(INDEX(WorkPackages!$C$5:$C$40,MATCH(B97,WorkPackages!$A$5:$A$40,0)),"")</f>
        <v>Wave 1</v>
      </c>
      <c r="D97" s="5" t="s">
        <v>364</v>
      </c>
      <c r="E97" s="5" t="s">
        <v>504</v>
      </c>
      <c r="F97" s="5" t="s">
        <v>878</v>
      </c>
      <c r="G97" s="5" t="s">
        <v>879</v>
      </c>
      <c r="H97" s="5" t="s">
        <v>874</v>
      </c>
      <c r="I97" s="5" t="s">
        <v>115</v>
      </c>
      <c r="J97" s="5" t="s">
        <v>871</v>
      </c>
      <c r="K97" s="5" t="s">
        <v>404</v>
      </c>
      <c r="L97" s="5" t="s">
        <v>185</v>
      </c>
      <c r="M97" s="4" t="s">
        <v>32</v>
      </c>
      <c r="N97" s="4" t="s">
        <v>515</v>
      </c>
      <c r="O97" s="4" t="s">
        <v>516</v>
      </c>
      <c r="P97" s="19" t="str">
        <f aca="false">IFERROR(INDEX(WorkPackages!$H$5:$H$40,MATCH(B97,WorkPackages!$A$5:$A$40,0)),"")</f>
        <v>feat/wp-s9-progress</v>
      </c>
      <c r="Q97" s="18"/>
      <c r="R97" s="18"/>
      <c r="S97" s="4" t="s">
        <v>177</v>
      </c>
      <c r="T97" s="4" t="s">
        <v>566</v>
      </c>
      <c r="U97" s="5" t="s">
        <v>177</v>
      </c>
      <c r="V97" s="5" t="s">
        <v>518</v>
      </c>
      <c r="W97" s="5"/>
      <c r="X97" s="19" t="str">
        <f aca="false">IF(W97="","—",IFERROR(IF(INDEX(BackendChecklist!$H$5:$H$30,MATCH(W97,BackendChecklist!$A$5:$A$30,0))="نعم","جاهز للبدء",IF(V97="الآن (بنمط seam)","يبدأ بنمط seam — الربط ينتظر","ينتظر الباك اند")),"؟"))</f>
        <v>—</v>
      </c>
    </row>
    <row r="98" customFormat="false" ht="23.25" hidden="false" customHeight="true" outlineLevel="0" collapsed="false">
      <c r="A98" s="17" t="s">
        <v>880</v>
      </c>
      <c r="B98" s="5" t="s">
        <v>236</v>
      </c>
      <c r="C98" s="19" t="str">
        <f aca="false">IFERROR(INDEX(WorkPackages!$C$5:$C$40,MATCH(B98,WorkPackages!$A$5:$A$40,0)),"")</f>
        <v>Wave 1</v>
      </c>
      <c r="D98" s="5" t="s">
        <v>364</v>
      </c>
      <c r="E98" s="5" t="s">
        <v>504</v>
      </c>
      <c r="F98" s="5" t="s">
        <v>881</v>
      </c>
      <c r="G98" s="5" t="s">
        <v>882</v>
      </c>
      <c r="H98" s="5" t="s">
        <v>874</v>
      </c>
      <c r="I98" s="5" t="s">
        <v>115</v>
      </c>
      <c r="J98" s="5" t="s">
        <v>871</v>
      </c>
      <c r="K98" s="5" t="s">
        <v>514</v>
      </c>
      <c r="L98" s="5" t="s">
        <v>185</v>
      </c>
      <c r="M98" s="4" t="s">
        <v>32</v>
      </c>
      <c r="N98" s="4" t="s">
        <v>515</v>
      </c>
      <c r="O98" s="4" t="s">
        <v>516</v>
      </c>
      <c r="P98" s="19" t="str">
        <f aca="false">IFERROR(INDEX(WorkPackages!$H$5:$H$40,MATCH(B98,WorkPackages!$A$5:$A$40,0)),"")</f>
        <v>feat/wp-s9-progress</v>
      </c>
      <c r="Q98" s="18"/>
      <c r="R98" s="18"/>
      <c r="S98" s="4" t="s">
        <v>177</v>
      </c>
      <c r="T98" s="4" t="s">
        <v>566</v>
      </c>
      <c r="U98" s="5" t="s">
        <v>177</v>
      </c>
      <c r="V98" s="5" t="s">
        <v>518</v>
      </c>
      <c r="W98" s="5"/>
      <c r="X98" s="19" t="str">
        <f aca="false">IF(W98="","—",IFERROR(IF(INDEX(BackendChecklist!$H$5:$H$30,MATCH(W98,BackendChecklist!$A$5:$A$30,0))="نعم","جاهز للبدء",IF(V98="الآن (بنمط seam)","يبدأ بنمط seam — الربط ينتظر","ينتظر الباك اند")),"؟"))</f>
        <v>—</v>
      </c>
    </row>
    <row r="99" customFormat="false" ht="23.25" hidden="false" customHeight="true" outlineLevel="0" collapsed="false">
      <c r="A99" s="17" t="s">
        <v>883</v>
      </c>
      <c r="B99" s="5" t="s">
        <v>236</v>
      </c>
      <c r="C99" s="19" t="str">
        <f aca="false">IFERROR(INDEX(WorkPackages!$C$5:$C$40,MATCH(B99,WorkPackages!$A$5:$A$40,0)),"")</f>
        <v>Wave 1</v>
      </c>
      <c r="D99" s="5" t="s">
        <v>364</v>
      </c>
      <c r="E99" s="5" t="s">
        <v>504</v>
      </c>
      <c r="F99" s="5" t="s">
        <v>884</v>
      </c>
      <c r="G99" s="5" t="s">
        <v>885</v>
      </c>
      <c r="H99" s="5" t="s">
        <v>874</v>
      </c>
      <c r="I99" s="5" t="s">
        <v>115</v>
      </c>
      <c r="J99" s="5" t="s">
        <v>871</v>
      </c>
      <c r="K99" s="5" t="s">
        <v>404</v>
      </c>
      <c r="L99" s="5" t="s">
        <v>185</v>
      </c>
      <c r="M99" s="4" t="s">
        <v>32</v>
      </c>
      <c r="N99" s="4" t="s">
        <v>515</v>
      </c>
      <c r="O99" s="4" t="s">
        <v>516</v>
      </c>
      <c r="P99" s="19" t="str">
        <f aca="false">IFERROR(INDEX(WorkPackages!$H$5:$H$40,MATCH(B99,WorkPackages!$A$5:$A$40,0)),"")</f>
        <v>feat/wp-s9-progress</v>
      </c>
      <c r="Q99" s="18"/>
      <c r="R99" s="18"/>
      <c r="S99" s="4" t="s">
        <v>177</v>
      </c>
      <c r="T99" s="4" t="s">
        <v>566</v>
      </c>
      <c r="U99" s="5" t="s">
        <v>177</v>
      </c>
      <c r="V99" s="5" t="s">
        <v>518</v>
      </c>
      <c r="W99" s="5"/>
      <c r="X99" s="19" t="str">
        <f aca="false">IF(W99="","—",IFERROR(IF(INDEX(BackendChecklist!$H$5:$H$30,MATCH(W99,BackendChecklist!$A$5:$A$30,0))="نعم","جاهز للبدء",IF(V99="الآن (بنمط seam)","يبدأ بنمط seam — الربط ينتظر","ينتظر الباك اند")),"؟"))</f>
        <v>—</v>
      </c>
    </row>
    <row r="100" customFormat="false" ht="23.25" hidden="false" customHeight="true" outlineLevel="0" collapsed="false">
      <c r="A100" s="17" t="s">
        <v>886</v>
      </c>
      <c r="B100" s="5" t="s">
        <v>236</v>
      </c>
      <c r="C100" s="19" t="str">
        <f aca="false">IFERROR(INDEX(WorkPackages!$C$5:$C$40,MATCH(B100,WorkPackages!$A$5:$A$40,0)),"")</f>
        <v>Wave 1</v>
      </c>
      <c r="D100" s="5" t="s">
        <v>364</v>
      </c>
      <c r="E100" s="5" t="s">
        <v>457</v>
      </c>
      <c r="F100" s="5" t="s">
        <v>774</v>
      </c>
      <c r="G100" s="5" t="s">
        <v>887</v>
      </c>
      <c r="H100" s="5" t="s">
        <v>888</v>
      </c>
      <c r="I100" s="5" t="s">
        <v>115</v>
      </c>
      <c r="J100" s="5" t="s">
        <v>871</v>
      </c>
      <c r="K100" s="5" t="s">
        <v>514</v>
      </c>
      <c r="L100" s="5" t="s">
        <v>185</v>
      </c>
      <c r="M100" s="4" t="s">
        <v>32</v>
      </c>
      <c r="N100" s="4" t="s">
        <v>515</v>
      </c>
      <c r="O100" s="4" t="s">
        <v>516</v>
      </c>
      <c r="P100" s="19" t="str">
        <f aca="false">IFERROR(INDEX(WorkPackages!$H$5:$H$40,MATCH(B100,WorkPackages!$A$5:$A$40,0)),"")</f>
        <v>feat/wp-s9-progress</v>
      </c>
      <c r="Q100" s="18"/>
      <c r="R100" s="18"/>
      <c r="S100" s="4" t="s">
        <v>177</v>
      </c>
      <c r="T100" s="4" t="s">
        <v>566</v>
      </c>
      <c r="U100" s="5" t="s">
        <v>177</v>
      </c>
      <c r="V100" s="5" t="s">
        <v>518</v>
      </c>
      <c r="W100" s="5"/>
      <c r="X100" s="19" t="str">
        <f aca="false">IF(W100="","—",IFERROR(IF(INDEX(BackendChecklist!$H$5:$H$30,MATCH(W100,BackendChecklist!$A$5:$A$30,0))="نعم","جاهز للبدء",IF(V100="الآن (بنمط seam)","يبدأ بنمط seam — الربط ينتظر","ينتظر الباك اند")),"؟"))</f>
        <v>—</v>
      </c>
    </row>
    <row r="101" customFormat="false" ht="23.25" hidden="false" customHeight="true" outlineLevel="0" collapsed="false">
      <c r="A101" s="17" t="s">
        <v>889</v>
      </c>
      <c r="B101" s="5" t="s">
        <v>238</v>
      </c>
      <c r="C101" s="19" t="str">
        <f aca="false">IFERROR(INDEX(WorkPackages!$C$5:$C$40,MATCH(B101,WorkPackages!$A$5:$A$40,0)),"")</f>
        <v>Wave 1</v>
      </c>
      <c r="D101" s="5" t="s">
        <v>890</v>
      </c>
      <c r="E101" s="5" t="s">
        <v>504</v>
      </c>
      <c r="F101" s="5" t="s">
        <v>891</v>
      </c>
      <c r="G101" s="5" t="s">
        <v>892</v>
      </c>
      <c r="H101" s="5" t="s">
        <v>893</v>
      </c>
      <c r="I101" s="5" t="s">
        <v>894</v>
      </c>
      <c r="J101" s="5" t="s">
        <v>195</v>
      </c>
      <c r="K101" s="5" t="s">
        <v>404</v>
      </c>
      <c r="L101" s="5" t="s">
        <v>185</v>
      </c>
      <c r="M101" s="4" t="s">
        <v>32</v>
      </c>
      <c r="N101" s="4" t="s">
        <v>515</v>
      </c>
      <c r="O101" s="4" t="s">
        <v>516</v>
      </c>
      <c r="P101" s="19" t="str">
        <f aca="false">IFERROR(INDEX(WorkPackages!$H$5:$H$40,MATCH(B101,WorkPackages!$A$5:$A$40,0)),"")</f>
        <v>feat/wp-p1-parent</v>
      </c>
      <c r="Q101" s="18"/>
      <c r="R101" s="18"/>
      <c r="S101" s="4" t="s">
        <v>177</v>
      </c>
      <c r="T101" s="4" t="s">
        <v>895</v>
      </c>
      <c r="U101" s="5" t="s">
        <v>177</v>
      </c>
      <c r="V101" s="5" t="s">
        <v>518</v>
      </c>
      <c r="W101" s="5"/>
      <c r="X101" s="19" t="str">
        <f aca="false">IF(W101="","—",IFERROR(IF(INDEX(BackendChecklist!$H$5:$H$30,MATCH(W101,BackendChecklist!$A$5:$A$30,0))="نعم","جاهز للبدء",IF(V101="الآن (بنمط seam)","يبدأ بنمط seam — الربط ينتظر","ينتظر الباك اند")),"؟"))</f>
        <v>—</v>
      </c>
    </row>
    <row r="102" customFormat="false" ht="23.25" hidden="false" customHeight="true" outlineLevel="0" collapsed="false">
      <c r="A102" s="17" t="s">
        <v>896</v>
      </c>
      <c r="B102" s="5" t="s">
        <v>238</v>
      </c>
      <c r="C102" s="19" t="str">
        <f aca="false">IFERROR(INDEX(WorkPackages!$C$5:$C$40,MATCH(B102,WorkPackages!$A$5:$A$40,0)),"")</f>
        <v>Wave 1</v>
      </c>
      <c r="D102" s="5" t="s">
        <v>890</v>
      </c>
      <c r="E102" s="5" t="s">
        <v>504</v>
      </c>
      <c r="F102" s="5" t="s">
        <v>897</v>
      </c>
      <c r="G102" s="5" t="s">
        <v>898</v>
      </c>
      <c r="H102" s="5" t="s">
        <v>893</v>
      </c>
      <c r="I102" s="5" t="s">
        <v>115</v>
      </c>
      <c r="J102" s="5" t="s">
        <v>889</v>
      </c>
      <c r="K102" s="5" t="s">
        <v>514</v>
      </c>
      <c r="L102" s="5" t="s">
        <v>185</v>
      </c>
      <c r="M102" s="4" t="s">
        <v>32</v>
      </c>
      <c r="N102" s="4" t="s">
        <v>515</v>
      </c>
      <c r="O102" s="4" t="s">
        <v>516</v>
      </c>
      <c r="P102" s="19" t="str">
        <f aca="false">IFERROR(INDEX(WorkPackages!$H$5:$H$40,MATCH(B102,WorkPackages!$A$5:$A$40,0)),"")</f>
        <v>feat/wp-p1-parent</v>
      </c>
      <c r="Q102" s="18"/>
      <c r="R102" s="18"/>
      <c r="S102" s="4" t="s">
        <v>177</v>
      </c>
      <c r="T102" s="4" t="s">
        <v>895</v>
      </c>
      <c r="U102" s="5" t="s">
        <v>177</v>
      </c>
      <c r="V102" s="5" t="s">
        <v>518</v>
      </c>
      <c r="W102" s="5"/>
      <c r="X102" s="19" t="str">
        <f aca="false">IF(W102="","—",IFERROR(IF(INDEX(BackendChecklist!$H$5:$H$30,MATCH(W102,BackendChecklist!$A$5:$A$30,0))="نعم","جاهز للبدء",IF(V102="الآن (بنمط seam)","يبدأ بنمط seam — الربط ينتظر","ينتظر الباك اند")),"؟"))</f>
        <v>—</v>
      </c>
    </row>
    <row r="103" customFormat="false" ht="23.25" hidden="false" customHeight="true" outlineLevel="0" collapsed="false">
      <c r="A103" s="17" t="s">
        <v>899</v>
      </c>
      <c r="B103" s="5" t="s">
        <v>238</v>
      </c>
      <c r="C103" s="19" t="str">
        <f aca="false">IFERROR(INDEX(WorkPackages!$C$5:$C$40,MATCH(B103,WorkPackages!$A$5:$A$40,0)),"")</f>
        <v>Wave 1</v>
      </c>
      <c r="D103" s="5" t="s">
        <v>900</v>
      </c>
      <c r="E103" s="5" t="s">
        <v>504</v>
      </c>
      <c r="F103" s="5" t="s">
        <v>901</v>
      </c>
      <c r="G103" s="5" t="s">
        <v>902</v>
      </c>
      <c r="H103" s="5" t="s">
        <v>893</v>
      </c>
      <c r="I103" s="5" t="s">
        <v>903</v>
      </c>
      <c r="J103" s="5" t="s">
        <v>889</v>
      </c>
      <c r="K103" s="5" t="s">
        <v>404</v>
      </c>
      <c r="L103" s="5" t="s">
        <v>185</v>
      </c>
      <c r="M103" s="4" t="s">
        <v>32</v>
      </c>
      <c r="N103" s="4" t="s">
        <v>515</v>
      </c>
      <c r="O103" s="4" t="s">
        <v>516</v>
      </c>
      <c r="P103" s="19" t="str">
        <f aca="false">IFERROR(INDEX(WorkPackages!$H$5:$H$40,MATCH(B103,WorkPackages!$A$5:$A$40,0)),"")</f>
        <v>feat/wp-p1-parent</v>
      </c>
      <c r="Q103" s="18"/>
      <c r="R103" s="18"/>
      <c r="S103" s="4" t="s">
        <v>177</v>
      </c>
      <c r="T103" s="4" t="s">
        <v>895</v>
      </c>
      <c r="U103" s="5" t="s">
        <v>177</v>
      </c>
      <c r="V103" s="5" t="s">
        <v>518</v>
      </c>
      <c r="W103" s="5"/>
      <c r="X103" s="19" t="str">
        <f aca="false">IF(W103="","—",IFERROR(IF(INDEX(BackendChecklist!$H$5:$H$30,MATCH(W103,BackendChecklist!$A$5:$A$30,0))="نعم","جاهز للبدء",IF(V103="الآن (بنمط seam)","يبدأ بنمط seam — الربط ينتظر","ينتظر الباك اند")),"؟"))</f>
        <v>—</v>
      </c>
    </row>
    <row r="104" customFormat="false" ht="23.25" hidden="false" customHeight="true" outlineLevel="0" collapsed="false">
      <c r="A104" s="17" t="s">
        <v>904</v>
      </c>
      <c r="B104" s="5" t="s">
        <v>238</v>
      </c>
      <c r="C104" s="19" t="str">
        <f aca="false">IFERROR(INDEX(WorkPackages!$C$5:$C$40,MATCH(B104,WorkPackages!$A$5:$A$40,0)),"")</f>
        <v>Wave 1</v>
      </c>
      <c r="D104" s="5" t="s">
        <v>890</v>
      </c>
      <c r="E104" s="5" t="s">
        <v>504</v>
      </c>
      <c r="F104" s="5" t="s">
        <v>905</v>
      </c>
      <c r="G104" s="5" t="s">
        <v>906</v>
      </c>
      <c r="H104" s="5" t="s">
        <v>893</v>
      </c>
      <c r="I104" s="5" t="s">
        <v>115</v>
      </c>
      <c r="J104" s="5" t="s">
        <v>889</v>
      </c>
      <c r="K104" s="5" t="s">
        <v>495</v>
      </c>
      <c r="L104" s="5" t="s">
        <v>185</v>
      </c>
      <c r="M104" s="4" t="s">
        <v>32</v>
      </c>
      <c r="N104" s="4" t="s">
        <v>515</v>
      </c>
      <c r="O104" s="4" t="s">
        <v>516</v>
      </c>
      <c r="P104" s="19" t="str">
        <f aca="false">IFERROR(INDEX(WorkPackages!$H$5:$H$40,MATCH(B104,WorkPackages!$A$5:$A$40,0)),"")</f>
        <v>feat/wp-p1-parent</v>
      </c>
      <c r="Q104" s="18"/>
      <c r="R104" s="18"/>
      <c r="S104" s="4" t="s">
        <v>177</v>
      </c>
      <c r="T104" s="4" t="s">
        <v>895</v>
      </c>
      <c r="U104" s="5" t="s">
        <v>177</v>
      </c>
      <c r="V104" s="5" t="s">
        <v>518</v>
      </c>
      <c r="W104" s="5"/>
      <c r="X104" s="19" t="str">
        <f aca="false">IF(W104="","—",IFERROR(IF(INDEX(BackendChecklist!$H$5:$H$30,MATCH(W104,BackendChecklist!$A$5:$A$30,0))="نعم","جاهز للبدء",IF(V104="الآن (بنمط seam)","يبدأ بنمط seam — الربط ينتظر","ينتظر الباك اند")),"؟"))</f>
        <v>—</v>
      </c>
    </row>
    <row r="105" customFormat="false" ht="23.25" hidden="false" customHeight="true" outlineLevel="0" collapsed="false">
      <c r="A105" s="17" t="s">
        <v>907</v>
      </c>
      <c r="B105" s="5" t="s">
        <v>238</v>
      </c>
      <c r="C105" s="19" t="str">
        <f aca="false">IFERROR(INDEX(WorkPackages!$C$5:$C$40,MATCH(B105,WorkPackages!$A$5:$A$40,0)),"")</f>
        <v>Wave 1</v>
      </c>
      <c r="D105" s="5" t="s">
        <v>890</v>
      </c>
      <c r="E105" s="5" t="s">
        <v>504</v>
      </c>
      <c r="F105" s="5" t="s">
        <v>908</v>
      </c>
      <c r="G105" s="5" t="s">
        <v>909</v>
      </c>
      <c r="H105" s="5" t="s">
        <v>893</v>
      </c>
      <c r="I105" s="5" t="s">
        <v>910</v>
      </c>
      <c r="J105" s="5" t="s">
        <v>889</v>
      </c>
      <c r="K105" s="5" t="s">
        <v>514</v>
      </c>
      <c r="L105" s="5" t="s">
        <v>185</v>
      </c>
      <c r="M105" s="4" t="s">
        <v>32</v>
      </c>
      <c r="N105" s="4" t="s">
        <v>515</v>
      </c>
      <c r="O105" s="4" t="s">
        <v>516</v>
      </c>
      <c r="P105" s="19" t="str">
        <f aca="false">IFERROR(INDEX(WorkPackages!$H$5:$H$40,MATCH(B105,WorkPackages!$A$5:$A$40,0)),"")</f>
        <v>feat/wp-p1-parent</v>
      </c>
      <c r="Q105" s="18"/>
      <c r="R105" s="18"/>
      <c r="S105" s="4" t="s">
        <v>177</v>
      </c>
      <c r="T105" s="4" t="s">
        <v>895</v>
      </c>
      <c r="U105" s="5" t="s">
        <v>177</v>
      </c>
      <c r="V105" s="5" t="s">
        <v>518</v>
      </c>
      <c r="W105" s="5"/>
      <c r="X105" s="19" t="str">
        <f aca="false">IF(W105="","—",IFERROR(IF(INDEX(BackendChecklist!$H$5:$H$30,MATCH(W105,BackendChecklist!$A$5:$A$30,0))="نعم","جاهز للبدء",IF(V105="الآن (بنمط seam)","يبدأ بنمط seam — الربط ينتظر","ينتظر الباك اند")),"؟"))</f>
        <v>—</v>
      </c>
    </row>
    <row r="106" customFormat="false" ht="23.25" hidden="false" customHeight="true" outlineLevel="0" collapsed="false">
      <c r="A106" s="17" t="s">
        <v>911</v>
      </c>
      <c r="B106" s="5" t="s">
        <v>238</v>
      </c>
      <c r="C106" s="19" t="str">
        <f aca="false">IFERROR(INDEX(WorkPackages!$C$5:$C$40,MATCH(B106,WorkPackages!$A$5:$A$40,0)),"")</f>
        <v>Wave 1</v>
      </c>
      <c r="D106" s="5" t="s">
        <v>890</v>
      </c>
      <c r="E106" s="5" t="s">
        <v>504</v>
      </c>
      <c r="F106" s="5" t="s">
        <v>912</v>
      </c>
      <c r="G106" s="5" t="s">
        <v>913</v>
      </c>
      <c r="H106" s="5" t="s">
        <v>914</v>
      </c>
      <c r="I106" s="5" t="s">
        <v>894</v>
      </c>
      <c r="J106" s="5" t="s">
        <v>889</v>
      </c>
      <c r="K106" s="5" t="s">
        <v>495</v>
      </c>
      <c r="L106" s="5" t="s">
        <v>185</v>
      </c>
      <c r="M106" s="4" t="s">
        <v>32</v>
      </c>
      <c r="N106" s="4" t="s">
        <v>515</v>
      </c>
      <c r="O106" s="4" t="s">
        <v>516</v>
      </c>
      <c r="P106" s="19" t="str">
        <f aca="false">IFERROR(INDEX(WorkPackages!$H$5:$H$40,MATCH(B106,WorkPackages!$A$5:$A$40,0)),"")</f>
        <v>feat/wp-p1-parent</v>
      </c>
      <c r="Q106" s="18"/>
      <c r="R106" s="18"/>
      <c r="S106" s="4" t="s">
        <v>177</v>
      </c>
      <c r="T106" s="4" t="s">
        <v>895</v>
      </c>
      <c r="U106" s="5" t="s">
        <v>177</v>
      </c>
      <c r="V106" s="5" t="s">
        <v>518</v>
      </c>
      <c r="W106" s="5"/>
      <c r="X106" s="19" t="str">
        <f aca="false">IF(W106="","—",IFERROR(IF(INDEX(BackendChecklist!$H$5:$H$30,MATCH(W106,BackendChecklist!$A$5:$A$30,0))="نعم","جاهز للبدء",IF(V106="الآن (بنمط seam)","يبدأ بنمط seam — الربط ينتظر","ينتظر الباك اند")),"؟"))</f>
        <v>—</v>
      </c>
    </row>
    <row r="107" customFormat="false" ht="23.25" hidden="false" customHeight="true" outlineLevel="0" collapsed="false">
      <c r="A107" s="17" t="s">
        <v>915</v>
      </c>
      <c r="B107" s="5" t="s">
        <v>238</v>
      </c>
      <c r="C107" s="19" t="str">
        <f aca="false">IFERROR(INDEX(WorkPackages!$C$5:$C$40,MATCH(B107,WorkPackages!$A$5:$A$40,0)),"")</f>
        <v>Wave 1</v>
      </c>
      <c r="D107" s="5" t="s">
        <v>890</v>
      </c>
      <c r="E107" s="5" t="s">
        <v>457</v>
      </c>
      <c r="F107" s="5" t="s">
        <v>774</v>
      </c>
      <c r="G107" s="5" t="s">
        <v>916</v>
      </c>
      <c r="H107" s="5" t="s">
        <v>917</v>
      </c>
      <c r="I107" s="5" t="s">
        <v>115</v>
      </c>
      <c r="J107" s="5" t="s">
        <v>889</v>
      </c>
      <c r="K107" s="5" t="s">
        <v>514</v>
      </c>
      <c r="L107" s="5" t="s">
        <v>185</v>
      </c>
      <c r="M107" s="4" t="s">
        <v>32</v>
      </c>
      <c r="N107" s="4" t="s">
        <v>515</v>
      </c>
      <c r="O107" s="4" t="s">
        <v>516</v>
      </c>
      <c r="P107" s="19" t="str">
        <f aca="false">IFERROR(INDEX(WorkPackages!$H$5:$H$40,MATCH(B107,WorkPackages!$A$5:$A$40,0)),"")</f>
        <v>feat/wp-p1-parent</v>
      </c>
      <c r="Q107" s="18"/>
      <c r="R107" s="18"/>
      <c r="S107" s="4" t="s">
        <v>177</v>
      </c>
      <c r="T107" s="4" t="s">
        <v>895</v>
      </c>
      <c r="U107" s="5" t="s">
        <v>177</v>
      </c>
      <c r="V107" s="5" t="s">
        <v>518</v>
      </c>
      <c r="W107" s="5"/>
      <c r="X107" s="19" t="str">
        <f aca="false">IF(W107="","—",IFERROR(IF(INDEX(BackendChecklist!$H$5:$H$30,MATCH(W107,BackendChecklist!$A$5:$A$30,0))="نعم","جاهز للبدء",IF(V107="الآن (بنمط seam)","يبدأ بنمط seam — الربط ينتظر","ينتظر الباك اند")),"؟"))</f>
        <v>—</v>
      </c>
    </row>
    <row r="108" customFormat="false" ht="23.25" hidden="false" customHeight="true" outlineLevel="0" collapsed="false">
      <c r="A108" s="17" t="s">
        <v>918</v>
      </c>
      <c r="B108" s="5" t="s">
        <v>243</v>
      </c>
      <c r="C108" s="19" t="str">
        <f aca="false">IFERROR(INDEX(WorkPackages!$C$5:$C$40,MATCH(B108,WorkPackages!$A$5:$A$40,0)),"")</f>
        <v>Wave 1</v>
      </c>
      <c r="D108" s="5" t="s">
        <v>370</v>
      </c>
      <c r="E108" s="5" t="s">
        <v>504</v>
      </c>
      <c r="F108" s="5" t="s">
        <v>919</v>
      </c>
      <c r="G108" s="5" t="s">
        <v>920</v>
      </c>
      <c r="H108" s="5" t="s">
        <v>921</v>
      </c>
      <c r="I108" s="5" t="s">
        <v>922</v>
      </c>
      <c r="J108" s="5" t="s">
        <v>195</v>
      </c>
      <c r="K108" s="5" t="s">
        <v>404</v>
      </c>
      <c r="L108" s="5" t="s">
        <v>186</v>
      </c>
      <c r="M108" s="4" t="s">
        <v>32</v>
      </c>
      <c r="N108" s="4" t="s">
        <v>405</v>
      </c>
      <c r="O108" s="4" t="s">
        <v>718</v>
      </c>
      <c r="P108" s="19" t="str">
        <f aca="false">IFERROR(INDEX(WorkPackages!$H$5:$H$40,MATCH(B108,WorkPackages!$A$5:$A$40,0)),"")</f>
        <v>feat/wp-w1-wallet-deduction</v>
      </c>
      <c r="Q108" s="18"/>
      <c r="R108" s="18"/>
      <c r="S108" s="4" t="s">
        <v>177</v>
      </c>
      <c r="T108" s="4" t="s">
        <v>923</v>
      </c>
      <c r="U108" s="5" t="s">
        <v>103</v>
      </c>
      <c r="V108" s="5" t="s">
        <v>510</v>
      </c>
      <c r="W108" s="5" t="s">
        <v>105</v>
      </c>
      <c r="X108" s="19" t="str">
        <f aca="false">IF(W108="","—",IFERROR(IF(INDEX(BackendChecklist!$H$5:$H$30,MATCH(W108,BackendChecklist!$A$5:$A$30,0))="نعم","جاهز للبدء",IF(V108="الآن (بنمط seam)","يبدأ بنمط seam — الربط ينتظر","ينتظر الباك اند")),"؟"))</f>
        <v>جاهز للبدء</v>
      </c>
    </row>
    <row r="109" customFormat="false" ht="23.25" hidden="false" customHeight="true" outlineLevel="0" collapsed="false">
      <c r="A109" s="17" t="s">
        <v>924</v>
      </c>
      <c r="B109" s="5" t="s">
        <v>243</v>
      </c>
      <c r="C109" s="19" t="str">
        <f aca="false">IFERROR(INDEX(WorkPackages!$C$5:$C$40,MATCH(B109,WorkPackages!$A$5:$A$40,0)),"")</f>
        <v>Wave 1</v>
      </c>
      <c r="D109" s="5" t="s">
        <v>370</v>
      </c>
      <c r="E109" s="5" t="s">
        <v>504</v>
      </c>
      <c r="F109" s="5" t="s">
        <v>925</v>
      </c>
      <c r="G109" s="5" t="s">
        <v>926</v>
      </c>
      <c r="H109" s="5" t="s">
        <v>927</v>
      </c>
      <c r="I109" s="5" t="s">
        <v>115</v>
      </c>
      <c r="J109" s="5" t="s">
        <v>195</v>
      </c>
      <c r="K109" s="5" t="s">
        <v>404</v>
      </c>
      <c r="L109" s="5" t="s">
        <v>185</v>
      </c>
      <c r="M109" s="4" t="s">
        <v>32</v>
      </c>
      <c r="N109" s="4" t="s">
        <v>515</v>
      </c>
      <c r="O109" s="4" t="s">
        <v>516</v>
      </c>
      <c r="P109" s="19" t="str">
        <f aca="false">IFERROR(INDEX(WorkPackages!$H$5:$H$40,MATCH(B109,WorkPackages!$A$5:$A$40,0)),"")</f>
        <v>feat/wp-w1-wallet-deduction</v>
      </c>
      <c r="Q109" s="18"/>
      <c r="R109" s="18"/>
      <c r="S109" s="4" t="s">
        <v>177</v>
      </c>
      <c r="T109" s="4" t="s">
        <v>566</v>
      </c>
      <c r="U109" s="5" t="s">
        <v>177</v>
      </c>
      <c r="V109" s="5" t="s">
        <v>518</v>
      </c>
      <c r="W109" s="5"/>
      <c r="X109" s="19" t="str">
        <f aca="false">IF(W109="","—",IFERROR(IF(INDEX(BackendChecklist!$H$5:$H$30,MATCH(W109,BackendChecklist!$A$5:$A$30,0))="نعم","جاهز للبدء",IF(V109="الآن (بنمط seam)","يبدأ بنمط seam — الربط ينتظر","ينتظر الباك اند")),"؟"))</f>
        <v>—</v>
      </c>
    </row>
    <row r="110" customFormat="false" ht="23.25" hidden="false" customHeight="true" outlineLevel="0" collapsed="false">
      <c r="A110" s="17" t="s">
        <v>928</v>
      </c>
      <c r="B110" s="5" t="s">
        <v>243</v>
      </c>
      <c r="C110" s="19" t="str">
        <f aca="false">IFERROR(INDEX(WorkPackages!$C$5:$C$40,MATCH(B110,WorkPackages!$A$5:$A$40,0)),"")</f>
        <v>Wave 1</v>
      </c>
      <c r="D110" s="5" t="s">
        <v>370</v>
      </c>
      <c r="E110" s="5" t="s">
        <v>504</v>
      </c>
      <c r="F110" s="5" t="s">
        <v>929</v>
      </c>
      <c r="G110" s="5" t="s">
        <v>930</v>
      </c>
      <c r="H110" s="5" t="s">
        <v>931</v>
      </c>
      <c r="I110" s="5" t="s">
        <v>932</v>
      </c>
      <c r="J110" s="5" t="s">
        <v>195</v>
      </c>
      <c r="K110" s="5" t="s">
        <v>514</v>
      </c>
      <c r="L110" s="5" t="s">
        <v>185</v>
      </c>
      <c r="M110" s="4" t="s">
        <v>32</v>
      </c>
      <c r="N110" s="4" t="s">
        <v>515</v>
      </c>
      <c r="O110" s="4" t="s">
        <v>516</v>
      </c>
      <c r="P110" s="19" t="str">
        <f aca="false">IFERROR(INDEX(WorkPackages!$H$5:$H$40,MATCH(B110,WorkPackages!$A$5:$A$40,0)),"")</f>
        <v>feat/wp-w1-wallet-deduction</v>
      </c>
      <c r="Q110" s="18"/>
      <c r="R110" s="18"/>
      <c r="S110" s="4" t="s">
        <v>177</v>
      </c>
      <c r="T110" s="4" t="s">
        <v>566</v>
      </c>
      <c r="U110" s="5" t="s">
        <v>177</v>
      </c>
      <c r="V110" s="5" t="s">
        <v>518</v>
      </c>
      <c r="W110" s="5"/>
      <c r="X110" s="19" t="str">
        <f aca="false">IF(W110="","—",IFERROR(IF(INDEX(BackendChecklist!$H$5:$H$30,MATCH(W110,BackendChecklist!$A$5:$A$30,0))="نعم","جاهز للبدء",IF(V110="الآن (بنمط seam)","يبدأ بنمط seam — الربط ينتظر","ينتظر الباك اند")),"؟"))</f>
        <v>—</v>
      </c>
    </row>
    <row r="111" customFormat="false" ht="23.25" hidden="false" customHeight="true" outlineLevel="0" collapsed="false">
      <c r="A111" s="17" t="s">
        <v>933</v>
      </c>
      <c r="B111" s="5" t="s">
        <v>243</v>
      </c>
      <c r="C111" s="19" t="str">
        <f aca="false">IFERROR(INDEX(WorkPackages!$C$5:$C$40,MATCH(B111,WorkPackages!$A$5:$A$40,0)),"")</f>
        <v>Wave 1</v>
      </c>
      <c r="D111" s="5" t="s">
        <v>370</v>
      </c>
      <c r="E111" s="5" t="s">
        <v>504</v>
      </c>
      <c r="F111" s="5" t="s">
        <v>934</v>
      </c>
      <c r="G111" s="5" t="s">
        <v>935</v>
      </c>
      <c r="H111" s="5" t="s">
        <v>936</v>
      </c>
      <c r="I111" s="5" t="s">
        <v>115</v>
      </c>
      <c r="J111" s="5" t="s">
        <v>928</v>
      </c>
      <c r="K111" s="5" t="s">
        <v>495</v>
      </c>
      <c r="L111" s="5" t="s">
        <v>185</v>
      </c>
      <c r="M111" s="4" t="s">
        <v>32</v>
      </c>
      <c r="N111" s="4" t="s">
        <v>515</v>
      </c>
      <c r="O111" s="4" t="s">
        <v>516</v>
      </c>
      <c r="P111" s="19" t="str">
        <f aca="false">IFERROR(INDEX(WorkPackages!$H$5:$H$40,MATCH(B111,WorkPackages!$A$5:$A$40,0)),"")</f>
        <v>feat/wp-w1-wallet-deduction</v>
      </c>
      <c r="Q111" s="18"/>
      <c r="R111" s="18"/>
      <c r="S111" s="4" t="s">
        <v>177</v>
      </c>
      <c r="T111" s="4" t="s">
        <v>566</v>
      </c>
      <c r="U111" s="5" t="s">
        <v>177</v>
      </c>
      <c r="V111" s="5" t="s">
        <v>518</v>
      </c>
      <c r="W111" s="5"/>
      <c r="X111" s="19" t="str">
        <f aca="false">IF(W111="","—",IFERROR(IF(INDEX(BackendChecklist!$H$5:$H$30,MATCH(W111,BackendChecklist!$A$5:$A$30,0))="نعم","جاهز للبدء",IF(V111="الآن (بنمط seam)","يبدأ بنمط seam — الربط ينتظر","ينتظر الباك اند")),"؟"))</f>
        <v>—</v>
      </c>
    </row>
    <row r="112" customFormat="false" ht="15" hidden="false" customHeight="true" outlineLevel="0" collapsed="false">
      <c r="A112" s="17" t="s">
        <v>937</v>
      </c>
      <c r="B112" s="5" t="s">
        <v>243</v>
      </c>
      <c r="C112" s="19" t="str">
        <f aca="false">IFERROR(INDEX(WorkPackages!$C$5:$C$40,MATCH(B112,WorkPackages!$A$5:$A$40,0)),"")</f>
        <v>Wave 1</v>
      </c>
      <c r="D112" s="5" t="s">
        <v>370</v>
      </c>
      <c r="E112" s="5" t="s">
        <v>457</v>
      </c>
      <c r="F112" s="5" t="s">
        <v>774</v>
      </c>
      <c r="G112" s="5" t="s">
        <v>938</v>
      </c>
      <c r="H112" s="5" t="s">
        <v>939</v>
      </c>
      <c r="I112" s="5" t="s">
        <v>115</v>
      </c>
      <c r="J112" s="5" t="s">
        <v>918</v>
      </c>
      <c r="K112" s="5" t="s">
        <v>514</v>
      </c>
      <c r="L112" s="5" t="s">
        <v>185</v>
      </c>
      <c r="M112" s="4" t="s">
        <v>32</v>
      </c>
      <c r="N112" s="4" t="s">
        <v>405</v>
      </c>
      <c r="O112" s="4" t="s">
        <v>718</v>
      </c>
      <c r="P112" s="19" t="str">
        <f aca="false">IFERROR(INDEX(WorkPackages!$H$5:$H$40,MATCH(B112,WorkPackages!$A$5:$A$40,0)),"")</f>
        <v>feat/wp-w1-wallet-deduction</v>
      </c>
      <c r="Q112" s="18"/>
      <c r="R112" s="18"/>
      <c r="S112" s="4" t="s">
        <v>177</v>
      </c>
      <c r="T112" s="4" t="s">
        <v>940</v>
      </c>
      <c r="U112" s="5" t="s">
        <v>103</v>
      </c>
      <c r="V112" s="5" t="s">
        <v>510</v>
      </c>
      <c r="W112" s="5" t="s">
        <v>105</v>
      </c>
      <c r="X112" s="19" t="str">
        <f aca="false">IF(W112="","—",IFERROR(IF(INDEX(BackendChecklist!$H$5:$H$30,MATCH(W112,BackendChecklist!$A$5:$A$30,0))="نعم","جاهز للبدء",IF(V112="الآن (بنمط seam)","يبدأ بنمط seam — الربط ينتظر","ينتظر الباك اند")),"؟"))</f>
        <v>جاهز للبدء</v>
      </c>
    </row>
    <row r="113" customFormat="false" ht="23.25" hidden="false" customHeight="true" outlineLevel="0" collapsed="false">
      <c r="A113" s="17" t="s">
        <v>941</v>
      </c>
      <c r="B113" s="5" t="s">
        <v>245</v>
      </c>
      <c r="C113" s="19" t="str">
        <f aca="false">IFERROR(INDEX(WorkPackages!$C$5:$C$40,MATCH(B113,WorkPackages!$A$5:$A$40,0)),"")</f>
        <v>Wave 1</v>
      </c>
      <c r="D113" s="5" t="s">
        <v>373</v>
      </c>
      <c r="E113" s="5" t="s">
        <v>504</v>
      </c>
      <c r="F113" s="5" t="s">
        <v>942</v>
      </c>
      <c r="G113" s="5" t="s">
        <v>943</v>
      </c>
      <c r="H113" s="5" t="s">
        <v>944</v>
      </c>
      <c r="I113" s="5" t="s">
        <v>932</v>
      </c>
      <c r="J113" s="5" t="s">
        <v>195</v>
      </c>
      <c r="K113" s="5" t="s">
        <v>404</v>
      </c>
      <c r="L113" s="5" t="s">
        <v>186</v>
      </c>
      <c r="M113" s="4" t="s">
        <v>32</v>
      </c>
      <c r="N113" s="4" t="s">
        <v>515</v>
      </c>
      <c r="O113" s="4" t="s">
        <v>516</v>
      </c>
      <c r="P113" s="19" t="str">
        <f aca="false">IFERROR(INDEX(WorkPackages!$H$5:$H$40,MATCH(B113,WorkPackages!$A$5:$A$40,0)),"")</f>
        <v>feat/wp-w2-earnings</v>
      </c>
      <c r="Q113" s="18"/>
      <c r="R113" s="18"/>
      <c r="S113" s="4" t="s">
        <v>177</v>
      </c>
      <c r="T113" s="4" t="s">
        <v>895</v>
      </c>
      <c r="U113" s="5" t="s">
        <v>177</v>
      </c>
      <c r="V113" s="5" t="s">
        <v>518</v>
      </c>
      <c r="W113" s="5"/>
      <c r="X113" s="19" t="str">
        <f aca="false">IF(W113="","—",IFERROR(IF(INDEX(BackendChecklist!$H$5:$H$30,MATCH(W113,BackendChecklist!$A$5:$A$30,0))="نعم","جاهز للبدء",IF(V113="الآن (بنمط seam)","يبدأ بنمط seam — الربط ينتظر","ينتظر الباك اند")),"؟"))</f>
        <v>—</v>
      </c>
    </row>
    <row r="114" customFormat="false" ht="23.25" hidden="false" customHeight="true" outlineLevel="0" collapsed="false">
      <c r="A114" s="17" t="s">
        <v>945</v>
      </c>
      <c r="B114" s="5" t="s">
        <v>245</v>
      </c>
      <c r="C114" s="19" t="str">
        <f aca="false">IFERROR(INDEX(WorkPackages!$C$5:$C$40,MATCH(B114,WorkPackages!$A$5:$A$40,0)),"")</f>
        <v>Wave 1</v>
      </c>
      <c r="D114" s="5" t="s">
        <v>373</v>
      </c>
      <c r="E114" s="5" t="s">
        <v>504</v>
      </c>
      <c r="F114" s="5" t="s">
        <v>946</v>
      </c>
      <c r="G114" s="5" t="s">
        <v>947</v>
      </c>
      <c r="H114" s="5" t="s">
        <v>944</v>
      </c>
      <c r="I114" s="5" t="s">
        <v>115</v>
      </c>
      <c r="J114" s="5" t="s">
        <v>941</v>
      </c>
      <c r="K114" s="5" t="s">
        <v>514</v>
      </c>
      <c r="L114" s="5" t="s">
        <v>185</v>
      </c>
      <c r="M114" s="4" t="s">
        <v>32</v>
      </c>
      <c r="N114" s="4" t="s">
        <v>515</v>
      </c>
      <c r="O114" s="4" t="s">
        <v>516</v>
      </c>
      <c r="P114" s="19" t="str">
        <f aca="false">IFERROR(INDEX(WorkPackages!$H$5:$H$40,MATCH(B114,WorkPackages!$A$5:$A$40,0)),"")</f>
        <v>feat/wp-w2-earnings</v>
      </c>
      <c r="Q114" s="18"/>
      <c r="R114" s="18"/>
      <c r="S114" s="4" t="s">
        <v>177</v>
      </c>
      <c r="T114" s="4" t="s">
        <v>895</v>
      </c>
      <c r="U114" s="5" t="s">
        <v>177</v>
      </c>
      <c r="V114" s="5" t="s">
        <v>518</v>
      </c>
      <c r="W114" s="5"/>
      <c r="X114" s="19" t="str">
        <f aca="false">IF(W114="","—",IFERROR(IF(INDEX(BackendChecklist!$H$5:$H$30,MATCH(W114,BackendChecklist!$A$5:$A$30,0))="نعم","جاهز للبدء",IF(V114="الآن (بنمط seam)","يبدأ بنمط seam — الربط ينتظر","ينتظر الباك اند")),"؟"))</f>
        <v>—</v>
      </c>
    </row>
    <row r="115" customFormat="false" ht="23.25" hidden="false" customHeight="true" outlineLevel="0" collapsed="false">
      <c r="A115" s="17" t="s">
        <v>948</v>
      </c>
      <c r="B115" s="5" t="s">
        <v>245</v>
      </c>
      <c r="C115" s="19" t="str">
        <f aca="false">IFERROR(INDEX(WorkPackages!$C$5:$C$40,MATCH(B115,WorkPackages!$A$5:$A$40,0)),"")</f>
        <v>Wave 1</v>
      </c>
      <c r="D115" s="5" t="s">
        <v>373</v>
      </c>
      <c r="E115" s="5" t="s">
        <v>504</v>
      </c>
      <c r="F115" s="5" t="s">
        <v>949</v>
      </c>
      <c r="G115" s="5" t="s">
        <v>950</v>
      </c>
      <c r="H115" s="5" t="s">
        <v>944</v>
      </c>
      <c r="I115" s="5" t="s">
        <v>115</v>
      </c>
      <c r="J115" s="5" t="s">
        <v>941</v>
      </c>
      <c r="K115" s="5" t="s">
        <v>495</v>
      </c>
      <c r="L115" s="5" t="s">
        <v>185</v>
      </c>
      <c r="M115" s="4" t="s">
        <v>32</v>
      </c>
      <c r="N115" s="4" t="s">
        <v>515</v>
      </c>
      <c r="O115" s="4" t="s">
        <v>516</v>
      </c>
      <c r="P115" s="19" t="str">
        <f aca="false">IFERROR(INDEX(WorkPackages!$H$5:$H$40,MATCH(B115,WorkPackages!$A$5:$A$40,0)),"")</f>
        <v>feat/wp-w2-earnings</v>
      </c>
      <c r="Q115" s="18"/>
      <c r="R115" s="18"/>
      <c r="S115" s="4" t="s">
        <v>177</v>
      </c>
      <c r="T115" s="4" t="s">
        <v>895</v>
      </c>
      <c r="U115" s="5" t="s">
        <v>177</v>
      </c>
      <c r="V115" s="5" t="s">
        <v>518</v>
      </c>
      <c r="W115" s="5"/>
      <c r="X115" s="19" t="str">
        <f aca="false">IF(W115="","—",IFERROR(IF(INDEX(BackendChecklist!$H$5:$H$30,MATCH(W115,BackendChecklist!$A$5:$A$30,0))="نعم","جاهز للبدء",IF(V115="الآن (بنمط seam)","يبدأ بنمط seam — الربط ينتظر","ينتظر الباك اند")),"؟"))</f>
        <v>—</v>
      </c>
    </row>
    <row r="116" customFormat="false" ht="23.25" hidden="false" customHeight="true" outlineLevel="0" collapsed="false">
      <c r="A116" s="17" t="s">
        <v>951</v>
      </c>
      <c r="B116" s="5" t="s">
        <v>245</v>
      </c>
      <c r="C116" s="19" t="str">
        <f aca="false">IFERROR(INDEX(WorkPackages!$C$5:$C$40,MATCH(B116,WorkPackages!$A$5:$A$40,0)),"")</f>
        <v>Wave 1</v>
      </c>
      <c r="D116" s="5" t="s">
        <v>373</v>
      </c>
      <c r="E116" s="5" t="s">
        <v>457</v>
      </c>
      <c r="F116" s="5" t="s">
        <v>774</v>
      </c>
      <c r="G116" s="5" t="s">
        <v>952</v>
      </c>
      <c r="H116" s="5" t="s">
        <v>953</v>
      </c>
      <c r="I116" s="5" t="s">
        <v>115</v>
      </c>
      <c r="J116" s="5" t="s">
        <v>941</v>
      </c>
      <c r="K116" s="5" t="s">
        <v>514</v>
      </c>
      <c r="L116" s="5" t="s">
        <v>185</v>
      </c>
      <c r="M116" s="4" t="s">
        <v>32</v>
      </c>
      <c r="N116" s="4" t="s">
        <v>515</v>
      </c>
      <c r="O116" s="4" t="s">
        <v>516</v>
      </c>
      <c r="P116" s="19" t="str">
        <f aca="false">IFERROR(INDEX(WorkPackages!$H$5:$H$40,MATCH(B116,WorkPackages!$A$5:$A$40,0)),"")</f>
        <v>feat/wp-w2-earnings</v>
      </c>
      <c r="Q116" s="18"/>
      <c r="R116" s="18"/>
      <c r="S116" s="4" t="s">
        <v>177</v>
      </c>
      <c r="T116" s="4" t="s">
        <v>895</v>
      </c>
      <c r="U116" s="5" t="s">
        <v>177</v>
      </c>
      <c r="V116" s="5" t="s">
        <v>518</v>
      </c>
      <c r="W116" s="5"/>
      <c r="X116" s="19" t="str">
        <f aca="false">IF(W116="","—",IFERROR(IF(INDEX(BackendChecklist!$H$5:$H$30,MATCH(W116,BackendChecklist!$A$5:$A$30,0))="نعم","جاهز للبدء",IF(V116="الآن (بنمط seam)","يبدأ بنمط seam — الربط ينتظر","ينتظر الباك اند")),"؟"))</f>
        <v>—</v>
      </c>
    </row>
    <row r="117" customFormat="false" ht="23.25" hidden="false" customHeight="true" outlineLevel="0" collapsed="false">
      <c r="A117" s="17" t="s">
        <v>954</v>
      </c>
      <c r="B117" s="5" t="s">
        <v>250</v>
      </c>
      <c r="C117" s="19" t="str">
        <f aca="false">IFERROR(INDEX(WorkPackages!$C$5:$C$40,MATCH(B117,WorkPackages!$A$5:$A$40,0)),"")</f>
        <v>Wave 2</v>
      </c>
      <c r="D117" s="5" t="s">
        <v>317</v>
      </c>
      <c r="E117" s="5" t="s">
        <v>484</v>
      </c>
      <c r="F117" s="5" t="s">
        <v>955</v>
      </c>
      <c r="G117" s="5" t="s">
        <v>956</v>
      </c>
      <c r="H117" s="5" t="s">
        <v>957</v>
      </c>
      <c r="I117" s="5" t="s">
        <v>115</v>
      </c>
      <c r="J117" s="5" t="s">
        <v>958</v>
      </c>
      <c r="K117" s="5" t="s">
        <v>404</v>
      </c>
      <c r="L117" s="5" t="s">
        <v>186</v>
      </c>
      <c r="M117" s="4" t="s">
        <v>34</v>
      </c>
      <c r="N117" s="4"/>
      <c r="O117" s="4"/>
      <c r="P117" s="19" t="str">
        <f aca="false">IFERROR(INDEX(WorkPackages!$H$5:$H$40,MATCH(B117,WorkPackages!$A$5:$A$40,0)),"")</f>
        <v>feat/wp-qa-integration</v>
      </c>
      <c r="Q117" s="18"/>
      <c r="R117" s="18"/>
      <c r="S117" s="4" t="s">
        <v>177</v>
      </c>
      <c r="T117" s="4"/>
      <c r="U117" s="5" t="s">
        <v>177</v>
      </c>
      <c r="V117" s="5" t="s">
        <v>959</v>
      </c>
      <c r="W117" s="5"/>
      <c r="X117" s="19" t="str">
        <f aca="false">IF(W117="","—",IFERROR(IF(INDEX(BackendChecklist!$H$5:$H$30,MATCH(W117,BackendChecklist!$A$5:$A$30,0))="نعم","جاهز للبدء",IF(V117="الآن (بنمط seam)","يبدأ بنمط seam — الربط ينتظر","ينتظر الباك اند")),"؟"))</f>
        <v>—</v>
      </c>
    </row>
    <row r="118" customFormat="false" ht="23.25" hidden="false" customHeight="true" outlineLevel="0" collapsed="false">
      <c r="A118" s="17" t="s">
        <v>960</v>
      </c>
      <c r="B118" s="5" t="s">
        <v>250</v>
      </c>
      <c r="C118" s="19" t="str">
        <f aca="false">IFERROR(INDEX(WorkPackages!$C$5:$C$40,MATCH(B118,WorkPackages!$A$5:$A$40,0)),"")</f>
        <v>Wave 2</v>
      </c>
      <c r="D118" s="5" t="s">
        <v>317</v>
      </c>
      <c r="E118" s="5" t="s">
        <v>457</v>
      </c>
      <c r="F118" s="5" t="s">
        <v>961</v>
      </c>
      <c r="G118" s="5" t="s">
        <v>962</v>
      </c>
      <c r="H118" s="5" t="s">
        <v>963</v>
      </c>
      <c r="I118" s="5" t="s">
        <v>115</v>
      </c>
      <c r="J118" s="5" t="s">
        <v>954</v>
      </c>
      <c r="K118" s="5" t="s">
        <v>514</v>
      </c>
      <c r="L118" s="5" t="s">
        <v>187</v>
      </c>
      <c r="M118" s="4" t="s">
        <v>34</v>
      </c>
      <c r="N118" s="4"/>
      <c r="O118" s="4"/>
      <c r="P118" s="19" t="str">
        <f aca="false">IFERROR(INDEX(WorkPackages!$H$5:$H$40,MATCH(B118,WorkPackages!$A$5:$A$40,0)),"")</f>
        <v>feat/wp-qa-integration</v>
      </c>
      <c r="Q118" s="18"/>
      <c r="R118" s="18"/>
      <c r="S118" s="4" t="s">
        <v>177</v>
      </c>
      <c r="T118" s="4"/>
      <c r="U118" s="5" t="s">
        <v>177</v>
      </c>
      <c r="V118" s="5" t="s">
        <v>959</v>
      </c>
      <c r="W118" s="5"/>
      <c r="X118" s="19" t="str">
        <f aca="false">IF(W118="","—",IFERROR(IF(INDEX(BackendChecklist!$H$5:$H$30,MATCH(W118,BackendChecklist!$A$5:$A$30,0))="نعم","جاهز للبدء",IF(V118="الآن (بنمط seam)","يبدأ بنمط seam — الربط ينتظر","ينتظر الباك اند")),"؟"))</f>
        <v>—</v>
      </c>
    </row>
    <row r="119" customFormat="false" ht="15" hidden="false" customHeight="true" outlineLevel="0" collapsed="false">
      <c r="A119" s="17" t="s">
        <v>964</v>
      </c>
      <c r="B119" s="5" t="s">
        <v>250</v>
      </c>
      <c r="C119" s="19" t="str">
        <f aca="false">IFERROR(INDEX(WorkPackages!$C$5:$C$40,MATCH(B119,WorkPackages!$A$5:$A$40,0)),"")</f>
        <v>Wave 2</v>
      </c>
      <c r="D119" s="5" t="s">
        <v>317</v>
      </c>
      <c r="E119" s="5" t="s">
        <v>965</v>
      </c>
      <c r="F119" s="5" t="s">
        <v>966</v>
      </c>
      <c r="G119" s="5" t="s">
        <v>967</v>
      </c>
      <c r="H119" s="5" t="s">
        <v>501</v>
      </c>
      <c r="I119" s="5" t="s">
        <v>115</v>
      </c>
      <c r="J119" s="5" t="s">
        <v>954</v>
      </c>
      <c r="K119" s="5" t="s">
        <v>404</v>
      </c>
      <c r="L119" s="5" t="s">
        <v>187</v>
      </c>
      <c r="M119" s="4" t="s">
        <v>34</v>
      </c>
      <c r="N119" s="4"/>
      <c r="O119" s="4"/>
      <c r="P119" s="19" t="str">
        <f aca="false">IFERROR(INDEX(WorkPackages!$H$5:$H$40,MATCH(B119,WorkPackages!$A$5:$A$40,0)),"")</f>
        <v>feat/wp-qa-integration</v>
      </c>
      <c r="Q119" s="18"/>
      <c r="R119" s="18"/>
      <c r="S119" s="4" t="s">
        <v>177</v>
      </c>
      <c r="T119" s="4"/>
      <c r="U119" s="5" t="s">
        <v>177</v>
      </c>
      <c r="V119" s="5" t="s">
        <v>959</v>
      </c>
      <c r="W119" s="5"/>
      <c r="X119" s="19" t="str">
        <f aca="false">IF(W119="","—",IFERROR(IF(INDEX(BackendChecklist!$H$5:$H$30,MATCH(W119,BackendChecklist!$A$5:$A$30,0))="نعم","جاهز للبدء",IF(V119="الآن (بنمط seam)","يبدأ بنمط seam — الربط ينتظر","ينتظر الباك اند")),"؟"))</f>
        <v>—</v>
      </c>
    </row>
    <row r="120" customFormat="false" ht="15" hidden="false" customHeight="true" outlineLevel="0" collapsed="false">
      <c r="A120" s="17" t="s">
        <v>968</v>
      </c>
      <c r="B120" s="5" t="s">
        <v>250</v>
      </c>
      <c r="C120" s="19" t="str">
        <f aca="false">IFERROR(INDEX(WorkPackages!$C$5:$C$40,MATCH(B120,WorkPackages!$A$5:$A$40,0)),"")</f>
        <v>Wave 2</v>
      </c>
      <c r="D120" s="5" t="s">
        <v>317</v>
      </c>
      <c r="E120" s="5" t="s">
        <v>969</v>
      </c>
      <c r="F120" s="5" t="s">
        <v>970</v>
      </c>
      <c r="G120" s="5" t="s">
        <v>971</v>
      </c>
      <c r="H120" s="5" t="s">
        <v>115</v>
      </c>
      <c r="I120" s="5" t="s">
        <v>115</v>
      </c>
      <c r="J120" s="5" t="s">
        <v>954</v>
      </c>
      <c r="K120" s="5" t="s">
        <v>514</v>
      </c>
      <c r="L120" s="5" t="s">
        <v>186</v>
      </c>
      <c r="M120" s="4" t="s">
        <v>34</v>
      </c>
      <c r="N120" s="4"/>
      <c r="O120" s="4"/>
      <c r="P120" s="19" t="str">
        <f aca="false">IFERROR(INDEX(WorkPackages!$H$5:$H$40,MATCH(B120,WorkPackages!$A$5:$A$40,0)),"")</f>
        <v>feat/wp-qa-integration</v>
      </c>
      <c r="Q120" s="18"/>
      <c r="R120" s="18"/>
      <c r="S120" s="4" t="s">
        <v>177</v>
      </c>
      <c r="T120" s="4"/>
      <c r="U120" s="5" t="s">
        <v>177</v>
      </c>
      <c r="V120" s="5" t="s">
        <v>959</v>
      </c>
      <c r="W120" s="5"/>
      <c r="X120" s="19" t="str">
        <f aca="false">IF(W120="","—",IFERROR(IF(INDEX(BackendChecklist!$H$5:$H$30,MATCH(W120,BackendChecklist!$A$5:$A$30,0))="نعم","جاهز للبدء",IF(V120="الآن (بنمط seam)","يبدأ بنمط seam — الربط ينتظر","ينتظر الباك اند")),"؟"))</f>
        <v>—</v>
      </c>
    </row>
    <row r="121" customFormat="false" ht="15" hidden="false" customHeight="true" outlineLevel="0" collapsed="false">
      <c r="A121" s="17" t="s">
        <v>972</v>
      </c>
      <c r="B121" s="5" t="s">
        <v>250</v>
      </c>
      <c r="C121" s="19" t="str">
        <f aca="false">IFERROR(INDEX(WorkPackages!$C$5:$C$40,MATCH(B121,WorkPackages!$A$5:$A$40,0)),"")</f>
        <v>Wave 2</v>
      </c>
      <c r="D121" s="5" t="s">
        <v>317</v>
      </c>
      <c r="E121" s="5" t="s">
        <v>969</v>
      </c>
      <c r="F121" s="5" t="s">
        <v>973</v>
      </c>
      <c r="G121" s="5" t="s">
        <v>974</v>
      </c>
      <c r="H121" s="5" t="s">
        <v>115</v>
      </c>
      <c r="I121" s="5" t="s">
        <v>115</v>
      </c>
      <c r="J121" s="5" t="s">
        <v>954</v>
      </c>
      <c r="K121" s="5" t="s">
        <v>495</v>
      </c>
      <c r="L121" s="5" t="s">
        <v>186</v>
      </c>
      <c r="M121" s="4" t="s">
        <v>34</v>
      </c>
      <c r="N121" s="4"/>
      <c r="O121" s="4"/>
      <c r="P121" s="19" t="str">
        <f aca="false">IFERROR(INDEX(WorkPackages!$H$5:$H$40,MATCH(B121,WorkPackages!$A$5:$A$40,0)),"")</f>
        <v>feat/wp-qa-integration</v>
      </c>
      <c r="Q121" s="18"/>
      <c r="R121" s="18"/>
      <c r="S121" s="4" t="s">
        <v>177</v>
      </c>
      <c r="T121" s="4"/>
      <c r="U121" s="5" t="s">
        <v>177</v>
      </c>
      <c r="V121" s="5" t="s">
        <v>959</v>
      </c>
      <c r="W121" s="5"/>
      <c r="X121" s="19" t="str">
        <f aca="false">IF(W121="","—",IFERROR(IF(INDEX(BackendChecklist!$H$5:$H$30,MATCH(W121,BackendChecklist!$A$5:$A$30,0))="نعم","جاهز للبدء",IF(V121="الآن (بنمط seam)","يبدأ بنمط seam — الربط ينتظر","ينتظر الباك اند")),"؟"))</f>
        <v>—</v>
      </c>
    </row>
    <row r="122" customFormat="false" ht="23.25" hidden="false" customHeight="true" outlineLevel="0" collapsed="false">
      <c r="A122" s="17" t="s">
        <v>975</v>
      </c>
      <c r="B122" s="5" t="s">
        <v>250</v>
      </c>
      <c r="C122" s="19" t="str">
        <f aca="false">IFERROR(INDEX(WorkPackages!$C$5:$C$40,MATCH(B122,WorkPackages!$A$5:$A$40,0)),"")</f>
        <v>Wave 2</v>
      </c>
      <c r="D122" s="5" t="s">
        <v>317</v>
      </c>
      <c r="E122" s="5" t="s">
        <v>976</v>
      </c>
      <c r="F122" s="5" t="s">
        <v>977</v>
      </c>
      <c r="G122" s="5" t="s">
        <v>978</v>
      </c>
      <c r="H122" s="5" t="s">
        <v>979</v>
      </c>
      <c r="I122" s="5" t="s">
        <v>115</v>
      </c>
      <c r="J122" s="5" t="s">
        <v>954</v>
      </c>
      <c r="K122" s="5" t="s">
        <v>514</v>
      </c>
      <c r="L122" s="5" t="s">
        <v>185</v>
      </c>
      <c r="M122" s="4" t="s">
        <v>34</v>
      </c>
      <c r="N122" s="4"/>
      <c r="O122" s="4"/>
      <c r="P122" s="19" t="str">
        <f aca="false">IFERROR(INDEX(WorkPackages!$H$5:$H$40,MATCH(B122,WorkPackages!$A$5:$A$40,0)),"")</f>
        <v>feat/wp-qa-integration</v>
      </c>
      <c r="Q122" s="18"/>
      <c r="R122" s="18"/>
      <c r="S122" s="4" t="s">
        <v>177</v>
      </c>
      <c r="T122" s="4"/>
      <c r="U122" s="5" t="s">
        <v>177</v>
      </c>
      <c r="V122" s="5" t="s">
        <v>959</v>
      </c>
      <c r="W122" s="5"/>
      <c r="X122" s="19" t="str">
        <f aca="false">IF(W122="","—",IFERROR(IF(INDEX(BackendChecklist!$H$5:$H$30,MATCH(W122,BackendChecklist!$A$5:$A$30,0))="نعم","جاهز للبدء",IF(V122="الآن (بنمط seam)","يبدأ بنمط seam — الربط ينتظر","ينتظر الباك اند")),"؟"))</f>
        <v>—</v>
      </c>
    </row>
    <row r="123" customFormat="false" ht="15" hidden="false" customHeight="true" outlineLevel="0" collapsed="false">
      <c r="A123" s="17" t="s">
        <v>980</v>
      </c>
      <c r="B123" s="5" t="s">
        <v>250</v>
      </c>
      <c r="C123" s="19" t="str">
        <f aca="false">IFERROR(INDEX(WorkPackages!$C$5:$C$40,MATCH(B123,WorkPackages!$A$5:$A$40,0)),"")</f>
        <v>Wave 2</v>
      </c>
      <c r="D123" s="5" t="s">
        <v>317</v>
      </c>
      <c r="E123" s="5" t="s">
        <v>976</v>
      </c>
      <c r="F123" s="5" t="s">
        <v>981</v>
      </c>
      <c r="G123" s="5" t="s">
        <v>982</v>
      </c>
      <c r="H123" s="5" t="s">
        <v>501</v>
      </c>
      <c r="I123" s="5" t="s">
        <v>115</v>
      </c>
      <c r="J123" s="5" t="s">
        <v>964</v>
      </c>
      <c r="K123" s="5" t="s">
        <v>514</v>
      </c>
      <c r="L123" s="5" t="s">
        <v>185</v>
      </c>
      <c r="M123" s="4" t="s">
        <v>34</v>
      </c>
      <c r="N123" s="4"/>
      <c r="O123" s="4"/>
      <c r="P123" s="19" t="str">
        <f aca="false">IFERROR(INDEX(WorkPackages!$H$5:$H$40,MATCH(B123,WorkPackages!$A$5:$A$40,0)),"")</f>
        <v>feat/wp-qa-integration</v>
      </c>
      <c r="Q123" s="18"/>
      <c r="R123" s="18"/>
      <c r="S123" s="4" t="s">
        <v>177</v>
      </c>
      <c r="T123" s="4"/>
      <c r="U123" s="5" t="s">
        <v>177</v>
      </c>
      <c r="V123" s="5" t="s">
        <v>959</v>
      </c>
      <c r="W123" s="5"/>
      <c r="X123" s="19" t="str">
        <f aca="false">IF(W123="","—",IFERROR(IF(INDEX(BackendChecklist!$H$5:$H$30,MATCH(W123,BackendChecklist!$A$5:$A$30,0))="نعم","جاهز للبدء",IF(V123="الآن (بنمط seam)","يبدأ بنمط seam — الربط ينتظر","ينتظر الباك اند")),"؟"))</f>
        <v>—</v>
      </c>
    </row>
    <row r="124" customFormat="false" ht="15" hidden="false" customHeight="true" outlineLevel="0" collapsed="false">
      <c r="A124" s="17" t="s">
        <v>983</v>
      </c>
      <c r="B124" s="5" t="s">
        <v>250</v>
      </c>
      <c r="C124" s="19" t="str">
        <f aca="false">IFERROR(INDEX(WorkPackages!$C$5:$C$40,MATCH(B124,WorkPackages!$A$5:$A$40,0)),"")</f>
        <v>Wave 2</v>
      </c>
      <c r="D124" s="5" t="s">
        <v>317</v>
      </c>
      <c r="E124" s="5" t="s">
        <v>984</v>
      </c>
      <c r="F124" s="5" t="s">
        <v>985</v>
      </c>
      <c r="G124" s="5" t="s">
        <v>986</v>
      </c>
      <c r="H124" s="5" t="s">
        <v>115</v>
      </c>
      <c r="I124" s="5" t="s">
        <v>115</v>
      </c>
      <c r="J124" s="5" t="s">
        <v>954</v>
      </c>
      <c r="K124" s="5" t="s">
        <v>514</v>
      </c>
      <c r="L124" s="5" t="s">
        <v>185</v>
      </c>
      <c r="M124" s="4" t="s">
        <v>34</v>
      </c>
      <c r="N124" s="4"/>
      <c r="O124" s="4"/>
      <c r="P124" s="19" t="str">
        <f aca="false">IFERROR(INDEX(WorkPackages!$H$5:$H$40,MATCH(B124,WorkPackages!$A$5:$A$40,0)),"")</f>
        <v>feat/wp-qa-integration</v>
      </c>
      <c r="Q124" s="18"/>
      <c r="R124" s="18"/>
      <c r="S124" s="4" t="s">
        <v>177</v>
      </c>
      <c r="T124" s="4"/>
      <c r="U124" s="5" t="s">
        <v>177</v>
      </c>
      <c r="V124" s="5" t="s">
        <v>959</v>
      </c>
      <c r="W124" s="5"/>
      <c r="X124" s="19" t="str">
        <f aca="false">IF(W124="","—",IFERROR(IF(INDEX(BackendChecklist!$H$5:$H$30,MATCH(W124,BackendChecklist!$A$5:$A$30,0))="نعم","جاهز للبدء",IF(V124="الآن (بنمط seam)","يبدأ بنمط seam — الربط ينتظر","ينتظر الباك اند")),"؟"))</f>
        <v>—</v>
      </c>
    </row>
    <row r="125" customFormat="false" ht="23.25" hidden="false" customHeight="true" outlineLevel="0" collapsed="false">
      <c r="A125" s="17" t="s">
        <v>987</v>
      </c>
      <c r="B125" s="5" t="s">
        <v>250</v>
      </c>
      <c r="C125" s="19" t="str">
        <f aca="false">IFERROR(INDEX(WorkPackages!$C$5:$C$40,MATCH(B125,WorkPackages!$A$5:$A$40,0)),"")</f>
        <v>Wave 2</v>
      </c>
      <c r="D125" s="5" t="s">
        <v>317</v>
      </c>
      <c r="E125" s="5" t="s">
        <v>988</v>
      </c>
      <c r="F125" s="5" t="s">
        <v>989</v>
      </c>
      <c r="G125" s="5" t="s">
        <v>990</v>
      </c>
      <c r="H125" s="5" t="s">
        <v>115</v>
      </c>
      <c r="I125" s="5" t="s">
        <v>115</v>
      </c>
      <c r="J125" s="5" t="s">
        <v>954</v>
      </c>
      <c r="K125" s="5" t="s">
        <v>404</v>
      </c>
      <c r="L125" s="5" t="s">
        <v>186</v>
      </c>
      <c r="M125" s="4" t="s">
        <v>34</v>
      </c>
      <c r="N125" s="4"/>
      <c r="O125" s="4"/>
      <c r="P125" s="19" t="str">
        <f aca="false">IFERROR(INDEX(WorkPackages!$H$5:$H$40,MATCH(B125,WorkPackages!$A$5:$A$40,0)),"")</f>
        <v>feat/wp-qa-integration</v>
      </c>
      <c r="Q125" s="18"/>
      <c r="R125" s="18"/>
      <c r="S125" s="4" t="s">
        <v>177</v>
      </c>
      <c r="T125" s="4"/>
      <c r="U125" s="5" t="s">
        <v>177</v>
      </c>
      <c r="V125" s="5" t="s">
        <v>959</v>
      </c>
      <c r="W125" s="5"/>
      <c r="X125" s="19" t="str">
        <f aca="false">IF(W125="","—",IFERROR(IF(INDEX(BackendChecklist!$H$5:$H$30,MATCH(W125,BackendChecklist!$A$5:$A$30,0))="نعم","جاهز للبدء",IF(V125="الآن (بنمط seam)","يبدأ بنمط seam — الربط ينتظر","ينتظر الباك اند")),"؟"))</f>
        <v>—</v>
      </c>
    </row>
    <row r="126" customFormat="false" ht="34.5" hidden="false" customHeight="true" outlineLevel="0" collapsed="false">
      <c r="A126" s="17" t="s">
        <v>991</v>
      </c>
      <c r="B126" s="5" t="s">
        <v>195</v>
      </c>
      <c r="C126" s="19" t="str">
        <f aca="false">IFERROR(INDEX(WorkPackages!$C$5:$C$40,MATCH(B126,WorkPackages!$A$5:$A$40,0)),"")</f>
        <v>Wave 0</v>
      </c>
      <c r="D126" s="5" t="s">
        <v>317</v>
      </c>
      <c r="E126" s="5" t="s">
        <v>399</v>
      </c>
      <c r="F126" s="5" t="s">
        <v>992</v>
      </c>
      <c r="G126" s="5" t="s">
        <v>993</v>
      </c>
      <c r="H126" s="5" t="s">
        <v>994</v>
      </c>
      <c r="I126" s="5" t="s">
        <v>115</v>
      </c>
      <c r="J126" s="5" t="s">
        <v>115</v>
      </c>
      <c r="K126" s="5" t="s">
        <v>404</v>
      </c>
      <c r="L126" s="5" t="s">
        <v>185</v>
      </c>
      <c r="M126" s="4" t="s">
        <v>32</v>
      </c>
      <c r="N126" s="4" t="s">
        <v>405</v>
      </c>
      <c r="O126" s="4" t="s">
        <v>406</v>
      </c>
      <c r="P126" s="19" t="str">
        <f aca="false">IFERROR(INDEX(WorkPackages!$H$5:$H$40,MATCH(B126,WorkPackages!$A$5:$A$40,0)),"")</f>
        <v>feat/wp-00-foundation</v>
      </c>
      <c r="Q126" s="18"/>
      <c r="R126" s="18"/>
      <c r="S126" s="4" t="s">
        <v>177</v>
      </c>
      <c r="T126" s="4" t="s">
        <v>407</v>
      </c>
      <c r="U126" s="5" t="s">
        <v>177</v>
      </c>
      <c r="V126" s="5" t="s">
        <v>408</v>
      </c>
      <c r="W126" s="5"/>
      <c r="X126" s="19" t="str">
        <f aca="false">IF(W126="","—",IFERROR(IF(INDEX(BackendChecklist!$H$5:$H$30,MATCH(W126,BackendChecklist!$A$5:$A$30,0))="نعم","جاهز للبدء",IF(V126="الآن (بنمط seam)","يبدأ بنمط seam — الربط ينتظر","ينتظر الباك اند")),"؟"))</f>
        <v>—</v>
      </c>
    </row>
    <row r="127" customFormat="false" ht="45.75" hidden="false" customHeight="true" outlineLevel="0" collapsed="false">
      <c r="A127" s="17" t="s">
        <v>995</v>
      </c>
      <c r="B127" s="5" t="s">
        <v>201</v>
      </c>
      <c r="C127" s="19" t="str">
        <f aca="false">IFERROR(INDEX(WorkPackages!$C$5:$C$40,MATCH(B127,WorkPackages!$A$5:$A$40,0)),"")</f>
        <v>Wave J</v>
      </c>
      <c r="D127" s="5" t="s">
        <v>317</v>
      </c>
      <c r="E127" s="5" t="s">
        <v>996</v>
      </c>
      <c r="F127" s="5" t="s">
        <v>997</v>
      </c>
      <c r="G127" s="5" t="s">
        <v>998</v>
      </c>
      <c r="H127" s="5" t="s">
        <v>402</v>
      </c>
      <c r="I127" s="5" t="s">
        <v>999</v>
      </c>
      <c r="J127" s="5" t="s">
        <v>1000</v>
      </c>
      <c r="K127" s="5" t="s">
        <v>404</v>
      </c>
      <c r="L127" s="5" t="s">
        <v>185</v>
      </c>
      <c r="M127" s="4" t="s">
        <v>32</v>
      </c>
      <c r="N127" s="4" t="s">
        <v>405</v>
      </c>
      <c r="O127" s="4" t="s">
        <v>1001</v>
      </c>
      <c r="P127" s="19" t="str">
        <f aca="false">IFERROR(INDEX(WorkPackages!$H$5:$H$40,MATCH(B127,WorkPackages!$A$5:$A$40,0)),"")</f>
        <v>feat/wp-j-response-types</v>
      </c>
      <c r="Q127" s="18"/>
      <c r="R127" s="18"/>
      <c r="S127" s="4" t="s">
        <v>177</v>
      </c>
      <c r="T127" s="4" t="s">
        <v>1002</v>
      </c>
      <c r="U127" s="5" t="s">
        <v>103</v>
      </c>
      <c r="V127" s="5" t="s">
        <v>518</v>
      </c>
      <c r="W127" s="5"/>
      <c r="X127" s="19" t="str">
        <f aca="false">IF(W127="","—",IFERROR(IF(INDEX(BackendChecklist!$H$5:$H$30,MATCH(W127,BackendChecklist!$A$5:$A$30,0))="نعم","جاهز للبدء",IF(V127="الآن (بنمط seam)","يبدأ بنمط seam — الربط ينتظر","ينتظر الباك اند")),"؟"))</f>
        <v>—</v>
      </c>
    </row>
    <row r="128" customFormat="false" ht="45.75" hidden="false" customHeight="true" outlineLevel="0" collapsed="false">
      <c r="A128" s="17" t="s">
        <v>1003</v>
      </c>
      <c r="B128" s="5" t="s">
        <v>201</v>
      </c>
      <c r="C128" s="19" t="str">
        <f aca="false">IFERROR(INDEX(WorkPackages!$C$5:$C$40,MATCH(B128,WorkPackages!$A$5:$A$40,0)),"")</f>
        <v>Wave J</v>
      </c>
      <c r="D128" s="5" t="s">
        <v>317</v>
      </c>
      <c r="E128" s="5" t="s">
        <v>996</v>
      </c>
      <c r="F128" s="5" t="s">
        <v>1004</v>
      </c>
      <c r="G128" s="5" t="s">
        <v>1005</v>
      </c>
      <c r="H128" s="5" t="s">
        <v>1006</v>
      </c>
      <c r="I128" s="5" t="s">
        <v>1007</v>
      </c>
      <c r="J128" s="5" t="s">
        <v>1000</v>
      </c>
      <c r="K128" s="5" t="s">
        <v>404</v>
      </c>
      <c r="L128" s="5" t="s">
        <v>185</v>
      </c>
      <c r="M128" s="4" t="s">
        <v>32</v>
      </c>
      <c r="N128" s="4" t="s">
        <v>405</v>
      </c>
      <c r="O128" s="4" t="s">
        <v>1001</v>
      </c>
      <c r="P128" s="19" t="str">
        <f aca="false">IFERROR(INDEX(WorkPackages!$H$5:$H$40,MATCH(B128,WorkPackages!$A$5:$A$40,0)),"")</f>
        <v>feat/wp-j-response-types</v>
      </c>
      <c r="Q128" s="18"/>
      <c r="R128" s="18"/>
      <c r="S128" s="4" t="s">
        <v>177</v>
      </c>
      <c r="T128" s="4" t="s">
        <v>1002</v>
      </c>
      <c r="U128" s="5" t="s">
        <v>103</v>
      </c>
      <c r="V128" s="5" t="s">
        <v>518</v>
      </c>
      <c r="W128" s="5"/>
      <c r="X128" s="19" t="str">
        <f aca="false">IF(W128="","—",IFERROR(IF(INDEX(BackendChecklist!$H$5:$H$30,MATCH(W128,BackendChecklist!$A$5:$A$30,0))="نعم","جاهز للبدء",IF(V128="الآن (بنمط seam)","يبدأ بنمط seam — الربط ينتظر","ينتظر الباك اند")),"؟"))</f>
        <v>—</v>
      </c>
    </row>
    <row r="129" customFormat="false" ht="45.75" hidden="false" customHeight="true" outlineLevel="0" collapsed="false">
      <c r="A129" s="17" t="s">
        <v>1008</v>
      </c>
      <c r="B129" s="5" t="s">
        <v>201</v>
      </c>
      <c r="C129" s="19" t="str">
        <f aca="false">IFERROR(INDEX(WorkPackages!$C$5:$C$40,MATCH(B129,WorkPackages!$A$5:$A$40,0)),"")</f>
        <v>Wave J</v>
      </c>
      <c r="D129" s="5" t="s">
        <v>317</v>
      </c>
      <c r="E129" s="5" t="s">
        <v>996</v>
      </c>
      <c r="F129" s="5" t="s">
        <v>1009</v>
      </c>
      <c r="G129" s="5" t="s">
        <v>1010</v>
      </c>
      <c r="H129" s="5" t="s">
        <v>1011</v>
      </c>
      <c r="I129" s="5" t="s">
        <v>1012</v>
      </c>
      <c r="J129" s="5" t="s">
        <v>1000</v>
      </c>
      <c r="K129" s="5" t="s">
        <v>404</v>
      </c>
      <c r="L129" s="5" t="s">
        <v>185</v>
      </c>
      <c r="M129" s="4" t="s">
        <v>32</v>
      </c>
      <c r="N129" s="4" t="s">
        <v>405</v>
      </c>
      <c r="O129" s="4" t="s">
        <v>1001</v>
      </c>
      <c r="P129" s="19" t="str">
        <f aca="false">IFERROR(INDEX(WorkPackages!$H$5:$H$40,MATCH(B129,WorkPackages!$A$5:$A$40,0)),"")</f>
        <v>feat/wp-j-response-types</v>
      </c>
      <c r="Q129" s="18"/>
      <c r="R129" s="18"/>
      <c r="S129" s="4" t="s">
        <v>177</v>
      </c>
      <c r="T129" s="4" t="s">
        <v>1002</v>
      </c>
      <c r="U129" s="5" t="s">
        <v>103</v>
      </c>
      <c r="V129" s="5" t="s">
        <v>518</v>
      </c>
      <c r="W129" s="5"/>
      <c r="X129" s="19" t="str">
        <f aca="false">IF(W129="","—",IFERROR(IF(INDEX(BackendChecklist!$H$5:$H$30,MATCH(W129,BackendChecklist!$A$5:$A$30,0))="نعم","جاهز للبدء",IF(V129="الآن (بنمط seam)","يبدأ بنمط seam — الربط ينتظر","ينتظر الباك اند")),"؟"))</f>
        <v>—</v>
      </c>
    </row>
    <row r="130" customFormat="false" ht="45.75" hidden="false" customHeight="true" outlineLevel="0" collapsed="false">
      <c r="A130" s="17" t="s">
        <v>1013</v>
      </c>
      <c r="B130" s="5" t="s">
        <v>201</v>
      </c>
      <c r="C130" s="19" t="str">
        <f aca="false">IFERROR(INDEX(WorkPackages!$C$5:$C$40,MATCH(B130,WorkPackages!$A$5:$A$40,0)),"")</f>
        <v>Wave J</v>
      </c>
      <c r="D130" s="5" t="s">
        <v>317</v>
      </c>
      <c r="E130" s="5" t="s">
        <v>996</v>
      </c>
      <c r="F130" s="5" t="s">
        <v>1014</v>
      </c>
      <c r="G130" s="5" t="s">
        <v>1015</v>
      </c>
      <c r="H130" s="5" t="s">
        <v>1011</v>
      </c>
      <c r="I130" s="5" t="s">
        <v>1016</v>
      </c>
      <c r="J130" s="5" t="s">
        <v>1000</v>
      </c>
      <c r="K130" s="5" t="s">
        <v>404</v>
      </c>
      <c r="L130" s="5" t="s">
        <v>185</v>
      </c>
      <c r="M130" s="4" t="s">
        <v>32</v>
      </c>
      <c r="N130" s="4" t="s">
        <v>405</v>
      </c>
      <c r="O130" s="4" t="s">
        <v>1001</v>
      </c>
      <c r="P130" s="19" t="str">
        <f aca="false">IFERROR(INDEX(WorkPackages!$H$5:$H$40,MATCH(B130,WorkPackages!$A$5:$A$40,0)),"")</f>
        <v>feat/wp-j-response-types</v>
      </c>
      <c r="Q130" s="18"/>
      <c r="R130" s="18"/>
      <c r="S130" s="4" t="s">
        <v>177</v>
      </c>
      <c r="T130" s="4" t="s">
        <v>1002</v>
      </c>
      <c r="U130" s="5" t="s">
        <v>103</v>
      </c>
      <c r="V130" s="5" t="s">
        <v>518</v>
      </c>
      <c r="W130" s="5"/>
      <c r="X130" s="19" t="str">
        <f aca="false">IF(W130="","—",IFERROR(IF(INDEX(BackendChecklist!$H$5:$H$30,MATCH(W130,BackendChecklist!$A$5:$A$30,0))="نعم","جاهز للبدء",IF(V130="الآن (بنمط seam)","يبدأ بنمط seam — الربط ينتظر","ينتظر الباك اند")),"؟"))</f>
        <v>—</v>
      </c>
    </row>
    <row r="131" customFormat="false" ht="45.75" hidden="false" customHeight="true" outlineLevel="0" collapsed="false">
      <c r="A131" s="17" t="s">
        <v>1017</v>
      </c>
      <c r="B131" s="5" t="s">
        <v>201</v>
      </c>
      <c r="C131" s="19" t="str">
        <f aca="false">IFERROR(INDEX(WorkPackages!$C$5:$C$40,MATCH(B131,WorkPackages!$A$5:$A$40,0)),"")</f>
        <v>Wave J</v>
      </c>
      <c r="D131" s="5" t="s">
        <v>317</v>
      </c>
      <c r="E131" s="5" t="s">
        <v>996</v>
      </c>
      <c r="F131" s="5" t="s">
        <v>1018</v>
      </c>
      <c r="G131" s="5" t="s">
        <v>1019</v>
      </c>
      <c r="H131" s="5" t="s">
        <v>1020</v>
      </c>
      <c r="I131" s="5" t="s">
        <v>1021</v>
      </c>
      <c r="J131" s="5" t="s">
        <v>1022</v>
      </c>
      <c r="K131" s="5" t="s">
        <v>404</v>
      </c>
      <c r="L131" s="5" t="s">
        <v>186</v>
      </c>
      <c r="M131" s="4" t="s">
        <v>32</v>
      </c>
      <c r="N131" s="4" t="s">
        <v>405</v>
      </c>
      <c r="O131" s="4" t="s">
        <v>1001</v>
      </c>
      <c r="P131" s="19" t="str">
        <f aca="false">IFERROR(INDEX(WorkPackages!$H$5:$H$40,MATCH(B131,WorkPackages!$A$5:$A$40,0)),"")</f>
        <v>feat/wp-j-response-types</v>
      </c>
      <c r="Q131" s="18"/>
      <c r="R131" s="18"/>
      <c r="S131" s="4" t="s">
        <v>177</v>
      </c>
      <c r="T131" s="4" t="s">
        <v>1002</v>
      </c>
      <c r="U131" s="5" t="s">
        <v>103</v>
      </c>
      <c r="V131" s="5" t="s">
        <v>518</v>
      </c>
      <c r="W131" s="5"/>
      <c r="X131" s="19" t="str">
        <f aca="false">IF(W131="","—",IFERROR(IF(INDEX(BackendChecklist!$H$5:$H$30,MATCH(W131,BackendChecklist!$A$5:$A$30,0))="نعم","جاهز للبدء",IF(V131="الآن (بنمط seam)","يبدأ بنمط seam — الربط ينتظر","ينتظر الباك اند")),"؟"))</f>
        <v>—</v>
      </c>
    </row>
    <row r="132" customFormat="false" ht="45.75" hidden="false" customHeight="true" outlineLevel="0" collapsed="false">
      <c r="A132" s="17" t="s">
        <v>1023</v>
      </c>
      <c r="B132" s="5" t="s">
        <v>201</v>
      </c>
      <c r="C132" s="19" t="str">
        <f aca="false">IFERROR(INDEX(WorkPackages!$C$5:$C$40,MATCH(B132,WorkPackages!$A$5:$A$40,0)),"")</f>
        <v>Wave J</v>
      </c>
      <c r="D132" s="5" t="s">
        <v>317</v>
      </c>
      <c r="E132" s="5" t="s">
        <v>996</v>
      </c>
      <c r="F132" s="5" t="s">
        <v>1024</v>
      </c>
      <c r="G132" s="5" t="s">
        <v>1025</v>
      </c>
      <c r="H132" s="5" t="s">
        <v>1026</v>
      </c>
      <c r="I132" s="5" t="s">
        <v>1027</v>
      </c>
      <c r="J132" s="5" t="s">
        <v>1028</v>
      </c>
      <c r="K132" s="5" t="s">
        <v>404</v>
      </c>
      <c r="L132" s="5" t="s">
        <v>186</v>
      </c>
      <c r="M132" s="4" t="s">
        <v>32</v>
      </c>
      <c r="N132" s="4" t="s">
        <v>405</v>
      </c>
      <c r="O132" s="4" t="s">
        <v>1001</v>
      </c>
      <c r="P132" s="19" t="str">
        <f aca="false">IFERROR(INDEX(WorkPackages!$H$5:$H$40,MATCH(B132,WorkPackages!$A$5:$A$40,0)),"")</f>
        <v>feat/wp-j-response-types</v>
      </c>
      <c r="Q132" s="18"/>
      <c r="R132" s="18"/>
      <c r="S132" s="4" t="s">
        <v>177</v>
      </c>
      <c r="T132" s="4" t="s">
        <v>1002</v>
      </c>
      <c r="U132" s="5" t="s">
        <v>103</v>
      </c>
      <c r="V132" s="5" t="s">
        <v>518</v>
      </c>
      <c r="W132" s="5"/>
      <c r="X132" s="19" t="str">
        <f aca="false">IF(W132="","—",IFERROR(IF(INDEX(BackendChecklist!$H$5:$H$30,MATCH(W132,BackendChecklist!$A$5:$A$30,0))="نعم","جاهز للبدء",IF(V132="الآن (بنمط seam)","يبدأ بنمط seam — الربط ينتظر","ينتظر الباك اند")),"؟"))</f>
        <v>—</v>
      </c>
    </row>
    <row r="133" customFormat="false" ht="23.25" hidden="false" customHeight="true" outlineLevel="0" collapsed="false">
      <c r="A133" s="17" t="s">
        <v>1029</v>
      </c>
      <c r="B133" s="5" t="s">
        <v>201</v>
      </c>
      <c r="C133" s="19" t="str">
        <f aca="false">IFERROR(INDEX(WorkPackages!$C$5:$C$40,MATCH(B133,WorkPackages!$A$5:$A$40,0)),"")</f>
        <v>Wave J</v>
      </c>
      <c r="D133" s="5" t="s">
        <v>317</v>
      </c>
      <c r="E133" s="5" t="s">
        <v>498</v>
      </c>
      <c r="F133" s="5" t="s">
        <v>1030</v>
      </c>
      <c r="G133" s="5" t="s">
        <v>1031</v>
      </c>
      <c r="H133" s="5" t="s">
        <v>501</v>
      </c>
      <c r="I133" s="5" t="s">
        <v>115</v>
      </c>
      <c r="J133" s="5" t="s">
        <v>1032</v>
      </c>
      <c r="K133" s="5" t="s">
        <v>404</v>
      </c>
      <c r="L133" s="5" t="s">
        <v>185</v>
      </c>
      <c r="M133" s="4" t="s">
        <v>34</v>
      </c>
      <c r="N133" s="4" t="s">
        <v>405</v>
      </c>
      <c r="O133" s="4" t="s">
        <v>1001</v>
      </c>
      <c r="P133" s="19" t="str">
        <f aca="false">IFERROR(INDEX(WorkPackages!$H$5:$H$40,MATCH(B133,WorkPackages!$A$5:$A$40,0)),"")</f>
        <v>feat/wp-j-response-types</v>
      </c>
      <c r="Q133" s="18"/>
      <c r="R133" s="18"/>
      <c r="S133" s="4" t="s">
        <v>177</v>
      </c>
      <c r="T133" s="4"/>
      <c r="U133" s="5" t="s">
        <v>103</v>
      </c>
      <c r="V133" s="5" t="s">
        <v>204</v>
      </c>
      <c r="W133" s="5"/>
      <c r="X133" s="19" t="str">
        <f aca="false">IF(W133="","—",IFERROR(IF(INDEX(BackendChecklist!$H$5:$H$30,MATCH(W133,BackendChecklist!$A$5:$A$30,0))="نعم","جاهز للبدء",IF(V133="الآن (بنمط seam)","يبدأ بنمط seam — الربط ينتظر","ينتظر الباك اند")),"؟"))</f>
        <v>—</v>
      </c>
    </row>
  </sheetData>
  <autoFilter ref="A4:X133"/>
  <conditionalFormatting sqref="U5:U300">
    <cfRule type="cellIs" priority="2" operator="equal" aboveAverage="0" equalAverage="0" bottom="0" percent="0" rank="0" text="" dxfId="0">
      <formula>"نعم"</formula>
    </cfRule>
    <cfRule type="cellIs" priority="3" operator="equal" aboveAverage="0" equalAverage="0" bottom="0" percent="0" rank="0" text="" dxfId="2">
      <formula>"جزئي"</formula>
    </cfRule>
  </conditionalFormatting>
  <conditionalFormatting sqref="V5:V300">
    <cfRule type="cellIs" priority="4" operator="equal" aboveAverage="0" equalAverage="0" bottom="0" percent="0" rank="0" text="" dxfId="1">
      <formula>"الآن"</formula>
    </cfRule>
  </conditionalFormatting>
  <conditionalFormatting sqref="M5:M300">
    <cfRule type="cellIs" priority="5" operator="equal" aboveAverage="0" equalAverage="0" bottom="0" percent="0" rank="0" text="" dxfId="1">
      <formula>"مكتمل"</formula>
    </cfRule>
    <cfRule type="cellIs" priority="6" operator="equal" aboveAverage="0" equalAverage="0" bottom="0" percent="0" rank="0" text="" dxfId="2">
      <formula>"قيد التنفيذ"</formula>
    </cfRule>
    <cfRule type="cellIs" priority="7" operator="equal" aboveAverage="0" equalAverage="0" bottom="0" percent="0" rank="0" text="" dxfId="3">
      <formula>"قيد المراجعة"</formula>
    </cfRule>
    <cfRule type="cellIs" priority="8" operator="equal" aboveAverage="0" equalAverage="0" bottom="0" percent="0" rank="0" text="" dxfId="0">
      <formula>"متوقف"</formula>
    </cfRule>
    <cfRule type="cellIs" priority="9" operator="equal" aboveAverage="0" equalAverage="0" bottom="0" percent="0" rank="0" text="" dxfId="4">
      <formula>"مؤجل"</formula>
    </cfRule>
  </conditionalFormatting>
  <dataValidations count="5">
    <dataValidation allowBlank="true" error="اختر من القائمة" errorStyle="stop" errorTitle="قيمة غير مسموحة" operator="between" showDropDown="false" showErrorMessage="true" showInputMessage="false" sqref="M5:M300" type="list">
      <formula1>Lists!$A$2:$A$7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K5:K300" type="list">
      <formula1>Lists!$B$2:$B$4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L5:L300" type="list">
      <formula1>Lists!$C$2:$C$4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S5:S300" type="list">
      <formula1>Lists!$D$2:$D$3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B5:B300" type="list">
      <formula1>Lists!$J$2:$J$21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4"/>
    <col collapsed="false" customWidth="true" hidden="false" outlineLevel="0" max="8" min="8" style="1" width="46"/>
    <col collapsed="false" customWidth="true" hidden="false" outlineLevel="0" max="9" min="9" style="1" width="11"/>
    <col collapsed="false" customWidth="true" hidden="false" outlineLevel="0" max="10" min="10" style="1" width="16"/>
    <col collapsed="false" customWidth="true" hidden="false" outlineLevel="0" max="12" min="11" style="1" width="9"/>
    <col collapsed="false" customWidth="true" hidden="false" outlineLevel="0" max="13" min="13" style="1" width="10"/>
    <col collapsed="false" customWidth="true" hidden="false" outlineLevel="0" max="16" min="14" style="1" width="9"/>
    <col collapsed="false" customWidth="true" hidden="false" outlineLevel="0" max="17" min="17" style="1" width="20"/>
    <col collapsed="false" customWidth="true" hidden="false" outlineLevel="0" max="18" min="18" style="1" width="28"/>
  </cols>
  <sheetData>
    <row r="1" customFormat="false" ht="18" hidden="false" customHeight="true" outlineLevel="0" collapsed="false">
      <c r="A1" s="2" t="s">
        <v>1033</v>
      </c>
    </row>
    <row r="2" customFormat="false" ht="15" hidden="false" customHeight="true" outlineLevel="0" collapsed="false">
      <c r="A2" s="7" t="s">
        <v>1034</v>
      </c>
    </row>
    <row r="4" customFormat="false" ht="31.5" hidden="false" customHeight="true" outlineLevel="0" collapsed="false">
      <c r="A4" s="16" t="s">
        <v>1035</v>
      </c>
      <c r="B4" s="16" t="s">
        <v>1036</v>
      </c>
      <c r="C4" s="16" t="s">
        <v>1037</v>
      </c>
      <c r="D4" s="16" t="s">
        <v>1038</v>
      </c>
      <c r="E4" s="16" t="s">
        <v>1039</v>
      </c>
      <c r="F4" s="16" t="s">
        <v>1040</v>
      </c>
      <c r="G4" s="16" t="s">
        <v>1041</v>
      </c>
      <c r="H4" s="16" t="s">
        <v>1042</v>
      </c>
      <c r="I4" s="16" t="s">
        <v>1043</v>
      </c>
      <c r="J4" s="16" t="s">
        <v>261</v>
      </c>
      <c r="K4" s="16" t="s">
        <v>1044</v>
      </c>
      <c r="L4" s="16" t="s">
        <v>30</v>
      </c>
      <c r="M4" s="16" t="s">
        <v>31</v>
      </c>
      <c r="N4" s="16" t="s">
        <v>1045</v>
      </c>
      <c r="O4" s="16" t="s">
        <v>1046</v>
      </c>
      <c r="P4" s="16" t="s">
        <v>1047</v>
      </c>
      <c r="Q4" s="16" t="s">
        <v>1048</v>
      </c>
      <c r="R4" s="16" t="s">
        <v>85</v>
      </c>
    </row>
    <row r="5" customFormat="false" ht="15" hidden="false" customHeight="true" outlineLevel="0" collapsed="false">
      <c r="A5" s="17" t="s">
        <v>552</v>
      </c>
      <c r="B5" s="5" t="s">
        <v>1049</v>
      </c>
      <c r="C5" s="5" t="s">
        <v>1050</v>
      </c>
      <c r="D5" s="5" t="s">
        <v>1051</v>
      </c>
      <c r="E5" s="5" t="s">
        <v>1052</v>
      </c>
      <c r="F5" s="5" t="s">
        <v>1053</v>
      </c>
      <c r="G5" s="5" t="s">
        <v>1054</v>
      </c>
      <c r="H5" s="5" t="s">
        <v>1055</v>
      </c>
      <c r="I5" s="5" t="s">
        <v>103</v>
      </c>
      <c r="J5" s="5" t="s">
        <v>212</v>
      </c>
      <c r="K5" s="19" t="n">
        <f aca="false">COUNTIF(Tasks!$D$5:$D$300,A5)</f>
        <v>4</v>
      </c>
      <c r="L5" s="19" t="n">
        <f aca="false">COUNTIFS(Tasks!$D$5:$D$300,A5,Tasks!$M$5:$M$300,"مكتمل")</f>
        <v>0</v>
      </c>
      <c r="M5" s="19" t="n">
        <f aca="false">COUNTIFS(Tasks!$D$5:$D$300,A5,Tasks!$M$5:$M$300,"قيد التنفيذ")+COUNTIFS(Tasks!$D$5:$D$300,A5,Tasks!$M$5:$M$300,"قيد المراجعة")</f>
        <v>3</v>
      </c>
      <c r="N5" s="19" t="n">
        <f aca="false">COUNTIF(UAT!$B$5:$B$300,A5)</f>
        <v>3</v>
      </c>
      <c r="O5" s="19" t="n">
        <f aca="false">COUNTIFS(UAT!$B$5:$B$300,A5,UAT!$H$5:$H$300,"نجح")</f>
        <v>0</v>
      </c>
      <c r="P5" s="19" t="n">
        <f aca="false">COUNTIFS(UAT!$B$5:$B$300,A5,UAT!$H$5:$H$300,"فشل")</f>
        <v>0</v>
      </c>
      <c r="Q5" s="25" t="str">
        <f aca="false">IF(G5="جاهز","جاهز (أصلي)",IF(K5=0,"—",IF(AND(L5=K5,N5&gt;0,O5=N5),"جاهز",IF(L5=K5,"مكتمل – بانتظار UAT",IF(L5+M5&gt;0,"قيد التنفيذ","لم يبدأ")))))</f>
        <v>قيد التنفيذ</v>
      </c>
      <c r="R5" s="4"/>
    </row>
    <row r="6" customFormat="false" ht="15" hidden="false" customHeight="true" outlineLevel="0" collapsed="false">
      <c r="A6" s="17" t="s">
        <v>331</v>
      </c>
      <c r="B6" s="5" t="s">
        <v>1056</v>
      </c>
      <c r="C6" s="5" t="s">
        <v>1057</v>
      </c>
      <c r="D6" s="5" t="s">
        <v>1051</v>
      </c>
      <c r="E6" s="5" t="s">
        <v>1052</v>
      </c>
      <c r="F6" s="5" t="s">
        <v>1053</v>
      </c>
      <c r="G6" s="5" t="s">
        <v>1054</v>
      </c>
      <c r="H6" s="5" t="s">
        <v>1058</v>
      </c>
      <c r="I6" s="5" t="s">
        <v>103</v>
      </c>
      <c r="J6" s="5" t="s">
        <v>214</v>
      </c>
      <c r="K6" s="19" t="n">
        <f aca="false">COUNTIF(Tasks!$D$5:$D$300,A6)</f>
        <v>4</v>
      </c>
      <c r="L6" s="19" t="n">
        <f aca="false">COUNTIFS(Tasks!$D$5:$D$300,A6,Tasks!$M$5:$M$300,"مكتمل")</f>
        <v>0</v>
      </c>
      <c r="M6" s="19" t="n">
        <f aca="false">COUNTIFS(Tasks!$D$5:$D$300,A6,Tasks!$M$5:$M$300,"قيد التنفيذ")+COUNTIFS(Tasks!$D$5:$D$300,A6,Tasks!$M$5:$M$300,"قيد المراجعة")</f>
        <v>0</v>
      </c>
      <c r="N6" s="19" t="n">
        <f aca="false">COUNTIF(UAT!$B$5:$B$300,A6)</f>
        <v>3</v>
      </c>
      <c r="O6" s="19" t="n">
        <f aca="false">COUNTIFS(UAT!$B$5:$B$300,A6,UAT!$H$5:$H$300,"نجح")</f>
        <v>0</v>
      </c>
      <c r="P6" s="19" t="n">
        <f aca="false">COUNTIFS(UAT!$B$5:$B$300,A6,UAT!$H$5:$H$300,"فشل")</f>
        <v>0</v>
      </c>
      <c r="Q6" s="25" t="str">
        <f aca="false">IF(G6="جاهز","جاهز (أصلي)",IF(K6=0,"—",IF(AND(L6=K6,N6&gt;0,O6=N6),"جاهز",IF(L6=K6,"مكتمل – بانتظار UAT",IF(L6+M6&gt;0,"قيد التنفيذ","لم يبدأ")))))</f>
        <v>لم يبدأ</v>
      </c>
      <c r="R6" s="4"/>
    </row>
    <row r="7" customFormat="false" ht="15" hidden="false" customHeight="true" outlineLevel="0" collapsed="false">
      <c r="A7" s="17" t="s">
        <v>603</v>
      </c>
      <c r="B7" s="5" t="s">
        <v>1059</v>
      </c>
      <c r="C7" s="5" t="s">
        <v>1060</v>
      </c>
      <c r="D7" s="5" t="s">
        <v>1051</v>
      </c>
      <c r="E7" s="5" t="s">
        <v>1052</v>
      </c>
      <c r="F7" s="5" t="s">
        <v>1053</v>
      </c>
      <c r="G7" s="5" t="s">
        <v>1054</v>
      </c>
      <c r="H7" s="5" t="s">
        <v>1061</v>
      </c>
      <c r="I7" s="5" t="s">
        <v>103</v>
      </c>
      <c r="J7" s="5" t="s">
        <v>216</v>
      </c>
      <c r="K7" s="19" t="n">
        <f aca="false">COUNTIF(Tasks!$D$5:$D$300,A7)</f>
        <v>2</v>
      </c>
      <c r="L7" s="19" t="n">
        <f aca="false">COUNTIFS(Tasks!$D$5:$D$300,A7,Tasks!$M$5:$M$300,"مكتمل")</f>
        <v>0</v>
      </c>
      <c r="M7" s="19" t="n">
        <f aca="false">COUNTIFS(Tasks!$D$5:$D$300,A7,Tasks!$M$5:$M$300,"قيد التنفيذ")+COUNTIFS(Tasks!$D$5:$D$300,A7,Tasks!$M$5:$M$300,"قيد المراجعة")</f>
        <v>2</v>
      </c>
      <c r="N7" s="19" t="n">
        <f aca="false">COUNTIF(UAT!$B$5:$B$300,A7)</f>
        <v>3</v>
      </c>
      <c r="O7" s="19" t="n">
        <f aca="false">COUNTIFS(UAT!$B$5:$B$300,A7,UAT!$H$5:$H$300,"نجح")</f>
        <v>0</v>
      </c>
      <c r="P7" s="19" t="n">
        <f aca="false">COUNTIFS(UAT!$B$5:$B$300,A7,UAT!$H$5:$H$300,"فشل")</f>
        <v>0</v>
      </c>
      <c r="Q7" s="25" t="str">
        <f aca="false">IF(G7="جاهز","جاهز (أصلي)",IF(K7=0,"—",IF(AND(L7=K7,N7&gt;0,O7=N7),"جاهز",IF(L7=K7,"مكتمل – بانتظار UAT",IF(L7+M7&gt;0,"قيد التنفيذ","لم يبدأ")))))</f>
        <v>قيد التنفيذ</v>
      </c>
      <c r="R7" s="4"/>
    </row>
    <row r="8" customFormat="false" ht="15" hidden="false" customHeight="true" outlineLevel="0" collapsed="false">
      <c r="A8" s="17" t="s">
        <v>559</v>
      </c>
      <c r="B8" s="5" t="s">
        <v>1062</v>
      </c>
      <c r="C8" s="5" t="s">
        <v>1063</v>
      </c>
      <c r="D8" s="5" t="s">
        <v>1051</v>
      </c>
      <c r="E8" s="5" t="s">
        <v>1052</v>
      </c>
      <c r="F8" s="5" t="s">
        <v>1053</v>
      </c>
      <c r="G8" s="5" t="s">
        <v>1054</v>
      </c>
      <c r="H8" s="5" t="s">
        <v>1064</v>
      </c>
      <c r="I8" s="5" t="s">
        <v>103</v>
      </c>
      <c r="J8" s="5" t="s">
        <v>212</v>
      </c>
      <c r="K8" s="19" t="n">
        <f aca="false">COUNTIF(Tasks!$D$5:$D$300,A8)</f>
        <v>2</v>
      </c>
      <c r="L8" s="19" t="n">
        <f aca="false">COUNTIFS(Tasks!$D$5:$D$300,A8,Tasks!$M$5:$M$300,"مكتمل")</f>
        <v>0</v>
      </c>
      <c r="M8" s="19" t="n">
        <f aca="false">COUNTIFS(Tasks!$D$5:$D$300,A8,Tasks!$M$5:$M$300,"قيد التنفيذ")+COUNTIFS(Tasks!$D$5:$D$300,A8,Tasks!$M$5:$M$300,"قيد المراجعة")</f>
        <v>2</v>
      </c>
      <c r="N8" s="19" t="n">
        <f aca="false">COUNTIF(UAT!$B$5:$B$300,A8)</f>
        <v>2</v>
      </c>
      <c r="O8" s="19" t="n">
        <f aca="false">COUNTIFS(UAT!$B$5:$B$300,A8,UAT!$H$5:$H$300,"نجح")</f>
        <v>0</v>
      </c>
      <c r="P8" s="19" t="n">
        <f aca="false">COUNTIFS(UAT!$B$5:$B$300,A8,UAT!$H$5:$H$300,"فشل")</f>
        <v>0</v>
      </c>
      <c r="Q8" s="25" t="str">
        <f aca="false">IF(G8="جاهز","جاهز (أصلي)",IF(K8=0,"—",IF(AND(L8=K8,N8&gt;0,O8=N8),"جاهز",IF(L8=K8,"مكتمل – بانتظار UAT",IF(L8+M8&gt;0,"قيد التنفيذ","لم يبدأ")))))</f>
        <v>قيد التنفيذ</v>
      </c>
      <c r="R8" s="4"/>
    </row>
    <row r="9" customFormat="false" ht="15" hidden="false" customHeight="true" outlineLevel="0" collapsed="false">
      <c r="A9" s="17" t="s">
        <v>609</v>
      </c>
      <c r="B9" s="5" t="s">
        <v>1065</v>
      </c>
      <c r="C9" s="5" t="s">
        <v>1066</v>
      </c>
      <c r="D9" s="5" t="s">
        <v>1051</v>
      </c>
      <c r="E9" s="5" t="s">
        <v>1052</v>
      </c>
      <c r="F9" s="5" t="s">
        <v>1053</v>
      </c>
      <c r="G9" s="5" t="s">
        <v>1054</v>
      </c>
      <c r="H9" s="5" t="s">
        <v>1067</v>
      </c>
      <c r="I9" s="5" t="s">
        <v>103</v>
      </c>
      <c r="J9" s="5" t="s">
        <v>216</v>
      </c>
      <c r="K9" s="19" t="n">
        <f aca="false">COUNTIF(Tasks!$D$5:$D$300,A9)</f>
        <v>2</v>
      </c>
      <c r="L9" s="19" t="n">
        <f aca="false">COUNTIFS(Tasks!$D$5:$D$300,A9,Tasks!$M$5:$M$300,"مكتمل")</f>
        <v>0</v>
      </c>
      <c r="M9" s="19" t="n">
        <f aca="false">COUNTIFS(Tasks!$D$5:$D$300,A9,Tasks!$M$5:$M$300,"قيد التنفيذ")+COUNTIFS(Tasks!$D$5:$D$300,A9,Tasks!$M$5:$M$300,"قيد المراجعة")</f>
        <v>2</v>
      </c>
      <c r="N9" s="19" t="n">
        <f aca="false">COUNTIF(UAT!$B$5:$B$300,A9)</f>
        <v>2</v>
      </c>
      <c r="O9" s="19" t="n">
        <f aca="false">COUNTIFS(UAT!$B$5:$B$300,A9,UAT!$H$5:$H$300,"نجح")</f>
        <v>0</v>
      </c>
      <c r="P9" s="19" t="n">
        <f aca="false">COUNTIFS(UAT!$B$5:$B$300,A9,UAT!$H$5:$H$300,"فشل")</f>
        <v>0</v>
      </c>
      <c r="Q9" s="25" t="str">
        <f aca="false">IF(G9="جاهز","جاهز (أصلي)",IF(K9=0,"—",IF(AND(L9=K9,N9&gt;0,O9=N9),"جاهز",IF(L9=K9,"مكتمل – بانتظار UAT",IF(L9+M9&gt;0,"قيد التنفيذ","لم يبدأ")))))</f>
        <v>قيد التنفيذ</v>
      </c>
      <c r="R9" s="4"/>
    </row>
    <row r="10" customFormat="false" ht="15" hidden="false" customHeight="true" outlineLevel="0" collapsed="false">
      <c r="A10" s="17" t="s">
        <v>647</v>
      </c>
      <c r="B10" s="5" t="s">
        <v>1068</v>
      </c>
      <c r="C10" s="5" t="s">
        <v>1069</v>
      </c>
      <c r="D10" s="5" t="s">
        <v>1070</v>
      </c>
      <c r="E10" s="5" t="s">
        <v>1071</v>
      </c>
      <c r="F10" s="5" t="s">
        <v>1053</v>
      </c>
      <c r="G10" s="5" t="s">
        <v>1054</v>
      </c>
      <c r="H10" s="5" t="s">
        <v>1072</v>
      </c>
      <c r="I10" s="5" t="s">
        <v>103</v>
      </c>
      <c r="J10" s="5" t="s">
        <v>1073</v>
      </c>
      <c r="K10" s="19" t="n">
        <f aca="false">COUNTIF(Tasks!$D$5:$D$300,A10)</f>
        <v>9</v>
      </c>
      <c r="L10" s="19" t="n">
        <f aca="false">COUNTIFS(Tasks!$D$5:$D$300,A10,Tasks!$M$5:$M$300,"مكتمل")</f>
        <v>0</v>
      </c>
      <c r="M10" s="19" t="n">
        <f aca="false">COUNTIFS(Tasks!$D$5:$D$300,A10,Tasks!$M$5:$M$300,"قيد التنفيذ")+COUNTIFS(Tasks!$D$5:$D$300,A10,Tasks!$M$5:$M$300,"قيد المراجعة")</f>
        <v>8</v>
      </c>
      <c r="N10" s="19" t="n">
        <f aca="false">COUNTIF(UAT!$B$5:$B$300,A10)</f>
        <v>5</v>
      </c>
      <c r="O10" s="19" t="n">
        <f aca="false">COUNTIFS(UAT!$B$5:$B$300,A10,UAT!$H$5:$H$300,"نجح")</f>
        <v>0</v>
      </c>
      <c r="P10" s="19" t="n">
        <f aca="false">COUNTIFS(UAT!$B$5:$B$300,A10,UAT!$H$5:$H$300,"فشل")</f>
        <v>0</v>
      </c>
      <c r="Q10" s="25" t="str">
        <f aca="false">IF(G10="جاهز","جاهز (أصلي)",IF(K10=0,"—",IF(AND(L10=K10,N10&gt;0,O10=N10),"جاهز",IF(L10=K10,"مكتمل – بانتظار UAT",IF(L10+M10&gt;0,"قيد التنفيذ","لم يبدأ")))))</f>
        <v>قيد التنفيذ</v>
      </c>
      <c r="R10" s="4"/>
    </row>
    <row r="11" customFormat="false" ht="15" hidden="false" customHeight="true" outlineLevel="0" collapsed="false">
      <c r="A11" s="17" t="s">
        <v>349</v>
      </c>
      <c r="B11" s="5" t="s">
        <v>1074</v>
      </c>
      <c r="C11" s="5" t="s">
        <v>1075</v>
      </c>
      <c r="D11" s="5" t="s">
        <v>1070</v>
      </c>
      <c r="E11" s="5" t="s">
        <v>1076</v>
      </c>
      <c r="F11" s="5" t="s">
        <v>1077</v>
      </c>
      <c r="G11" s="5" t="s">
        <v>1054</v>
      </c>
      <c r="H11" s="5" t="s">
        <v>1078</v>
      </c>
      <c r="I11" s="5" t="s">
        <v>103</v>
      </c>
      <c r="J11" s="5" t="s">
        <v>226</v>
      </c>
      <c r="K11" s="19" t="n">
        <f aca="false">COUNTIF(Tasks!$D$5:$D$300,A11)</f>
        <v>4</v>
      </c>
      <c r="L11" s="19" t="n">
        <f aca="false">COUNTIFS(Tasks!$D$5:$D$300,A11,Tasks!$M$5:$M$300,"مكتمل")</f>
        <v>0</v>
      </c>
      <c r="M11" s="19" t="n">
        <f aca="false">COUNTIFS(Tasks!$D$5:$D$300,A11,Tasks!$M$5:$M$300,"قيد التنفيذ")+COUNTIFS(Tasks!$D$5:$D$300,A11,Tasks!$M$5:$M$300,"قيد المراجعة")</f>
        <v>3</v>
      </c>
      <c r="N11" s="19" t="n">
        <f aca="false">COUNTIF(UAT!$B$5:$B$300,A11)</f>
        <v>3</v>
      </c>
      <c r="O11" s="19" t="n">
        <f aca="false">COUNTIFS(UAT!$B$5:$B$300,A11,UAT!$H$5:$H$300,"نجح")</f>
        <v>0</v>
      </c>
      <c r="P11" s="19" t="n">
        <f aca="false">COUNTIFS(UAT!$B$5:$B$300,A11,UAT!$H$5:$H$300,"فشل")</f>
        <v>0</v>
      </c>
      <c r="Q11" s="25" t="str">
        <f aca="false">IF(G11="جاهز","جاهز (أصلي)",IF(K11=0,"—",IF(AND(L11=K11,N11&gt;0,O11=N11),"جاهز",IF(L11=K11,"مكتمل – بانتظار UAT",IF(L11+M11&gt;0,"قيد التنفيذ","لم يبدأ")))))</f>
        <v>قيد التنفيذ</v>
      </c>
      <c r="R11" s="4"/>
    </row>
    <row r="12" customFormat="false" ht="23.25" hidden="false" customHeight="true" outlineLevel="0" collapsed="false">
      <c r="A12" s="17" t="s">
        <v>370</v>
      </c>
      <c r="B12" s="5" t="s">
        <v>1079</v>
      </c>
      <c r="C12" s="5" t="s">
        <v>1080</v>
      </c>
      <c r="D12" s="5" t="s">
        <v>1081</v>
      </c>
      <c r="E12" s="5" t="s">
        <v>1082</v>
      </c>
      <c r="F12" s="5" t="s">
        <v>1053</v>
      </c>
      <c r="G12" s="5" t="s">
        <v>93</v>
      </c>
      <c r="H12" s="5" t="s">
        <v>1083</v>
      </c>
      <c r="I12" s="5" t="s">
        <v>103</v>
      </c>
      <c r="J12" s="5" t="s">
        <v>243</v>
      </c>
      <c r="K12" s="19" t="n">
        <f aca="false">COUNTIF(Tasks!$D$5:$D$300,A12)</f>
        <v>5</v>
      </c>
      <c r="L12" s="19" t="n">
        <f aca="false">COUNTIFS(Tasks!$D$5:$D$300,A12,Tasks!$M$5:$M$300,"مكتمل")</f>
        <v>0</v>
      </c>
      <c r="M12" s="19" t="n">
        <f aca="false">COUNTIFS(Tasks!$D$5:$D$300,A12,Tasks!$M$5:$M$300,"قيد التنفيذ")+COUNTIFS(Tasks!$D$5:$D$300,A12,Tasks!$M$5:$M$300,"قيد المراجعة")</f>
        <v>5</v>
      </c>
      <c r="N12" s="19" t="n">
        <f aca="false">COUNTIF(UAT!$B$5:$B$300,A12)</f>
        <v>2</v>
      </c>
      <c r="O12" s="19" t="n">
        <f aca="false">COUNTIFS(UAT!$B$5:$B$300,A12,UAT!$H$5:$H$300,"نجح")</f>
        <v>0</v>
      </c>
      <c r="P12" s="19" t="n">
        <f aca="false">COUNTIFS(UAT!$B$5:$B$300,A12,UAT!$H$5:$H$300,"فشل")</f>
        <v>0</v>
      </c>
      <c r="Q12" s="25" t="str">
        <f aca="false">IF(G12="جاهز","جاهز (أصلي)",IF(K12=0,"—",IF(AND(L12=K12,N12&gt;0,O12=N12),"جاهز",IF(L12=K12,"مكتمل – بانتظار UAT",IF(L12+M12&gt;0,"قيد التنفيذ","لم يبدأ")))))</f>
        <v>قيد التنفيذ</v>
      </c>
      <c r="R12" s="4"/>
    </row>
    <row r="13" customFormat="false" ht="15" hidden="false" customHeight="true" outlineLevel="0" collapsed="false">
      <c r="A13" s="17" t="s">
        <v>373</v>
      </c>
      <c r="B13" s="5" t="s">
        <v>1084</v>
      </c>
      <c r="C13" s="5" t="s">
        <v>1085</v>
      </c>
      <c r="D13" s="5" t="s">
        <v>1081</v>
      </c>
      <c r="E13" s="5" t="s">
        <v>1082</v>
      </c>
      <c r="F13" s="5" t="s">
        <v>1053</v>
      </c>
      <c r="G13" s="5" t="s">
        <v>93</v>
      </c>
      <c r="H13" s="5" t="s">
        <v>1086</v>
      </c>
      <c r="I13" s="5" t="s">
        <v>103</v>
      </c>
      <c r="J13" s="5" t="s">
        <v>245</v>
      </c>
      <c r="K13" s="19" t="n">
        <f aca="false">COUNTIF(Tasks!$D$5:$D$300,A13)</f>
        <v>4</v>
      </c>
      <c r="L13" s="19" t="n">
        <f aca="false">COUNTIFS(Tasks!$D$5:$D$300,A13,Tasks!$M$5:$M$300,"مكتمل")</f>
        <v>0</v>
      </c>
      <c r="M13" s="19" t="n">
        <f aca="false">COUNTIFS(Tasks!$D$5:$D$300,A13,Tasks!$M$5:$M$300,"قيد التنفيذ")+COUNTIFS(Tasks!$D$5:$D$300,A13,Tasks!$M$5:$M$300,"قيد المراجعة")</f>
        <v>4</v>
      </c>
      <c r="N13" s="19" t="n">
        <f aca="false">COUNTIF(UAT!$B$5:$B$300,A13)</f>
        <v>2</v>
      </c>
      <c r="O13" s="19" t="n">
        <f aca="false">COUNTIFS(UAT!$B$5:$B$300,A13,UAT!$H$5:$H$300,"نجح")</f>
        <v>0</v>
      </c>
      <c r="P13" s="19" t="n">
        <f aca="false">COUNTIFS(UAT!$B$5:$B$300,A13,UAT!$H$5:$H$300,"فشل")</f>
        <v>0</v>
      </c>
      <c r="Q13" s="25" t="str">
        <f aca="false">IF(G13="جاهز","جاهز (أصلي)",IF(K13=0,"—",IF(AND(L13=K13,N13&gt;0,O13=N13),"جاهز",IF(L13=K13,"مكتمل – بانتظار UAT",IF(L13+M13&gt;0,"قيد التنفيذ","لم يبدأ")))))</f>
        <v>قيد التنفيذ</v>
      </c>
      <c r="R13" s="4"/>
    </row>
    <row r="14" customFormat="false" ht="15" hidden="false" customHeight="true" outlineLevel="0" collapsed="false">
      <c r="A14" s="17" t="s">
        <v>1087</v>
      </c>
      <c r="B14" s="5" t="s">
        <v>1088</v>
      </c>
      <c r="C14" s="5" t="s">
        <v>1089</v>
      </c>
      <c r="D14" s="5" t="s">
        <v>1090</v>
      </c>
      <c r="E14" s="5" t="s">
        <v>1091</v>
      </c>
      <c r="F14" s="5" t="s">
        <v>1053</v>
      </c>
      <c r="G14" s="5" t="s">
        <v>1092</v>
      </c>
      <c r="H14" s="5" t="s">
        <v>1093</v>
      </c>
      <c r="I14" s="5" t="s">
        <v>103</v>
      </c>
      <c r="J14" s="5" t="s">
        <v>115</v>
      </c>
      <c r="K14" s="19" t="n">
        <f aca="false">COUNTIF(Tasks!$D$5:$D$300,A14)</f>
        <v>0</v>
      </c>
      <c r="L14" s="19" t="n">
        <f aca="false">COUNTIFS(Tasks!$D$5:$D$300,A14,Tasks!$M$5:$M$300,"مكتمل")</f>
        <v>0</v>
      </c>
      <c r="M14" s="19" t="n">
        <f aca="false">COUNTIFS(Tasks!$D$5:$D$300,A14,Tasks!$M$5:$M$300,"قيد التنفيذ")+COUNTIFS(Tasks!$D$5:$D$300,A14,Tasks!$M$5:$M$300,"قيد المراجعة")</f>
        <v>0</v>
      </c>
      <c r="N14" s="19" t="n">
        <f aca="false">COUNTIF(UAT!$B$5:$B$300,A14)</f>
        <v>0</v>
      </c>
      <c r="O14" s="19" t="n">
        <f aca="false">COUNTIFS(UAT!$B$5:$B$300,A14,UAT!$H$5:$H$300,"نجح")</f>
        <v>0</v>
      </c>
      <c r="P14" s="19" t="n">
        <f aca="false">COUNTIFS(UAT!$B$5:$B$300,A14,UAT!$H$5:$H$300,"فشل")</f>
        <v>0</v>
      </c>
      <c r="Q14" s="25" t="str">
        <f aca="false">IF(G14="جاهز","جاهز (أصلي)",IF(K14=0,"—",IF(AND(L14=K14,N14&gt;0,O14=N14),"جاهز",IF(L14=K14,"مكتمل – بانتظار UAT",IF(L14+M14&gt;0,"قيد التنفيذ","لم يبدأ")))))</f>
        <v>جاهز (أصلي)</v>
      </c>
      <c r="R14" s="4"/>
    </row>
    <row r="15" customFormat="false" ht="15" hidden="false" customHeight="true" outlineLevel="0" collapsed="false">
      <c r="A15" s="17" t="s">
        <v>1094</v>
      </c>
      <c r="B15" s="5" t="s">
        <v>1095</v>
      </c>
      <c r="C15" s="5" t="s">
        <v>1096</v>
      </c>
      <c r="D15" s="5" t="s">
        <v>1090</v>
      </c>
      <c r="E15" s="5" t="s">
        <v>1091</v>
      </c>
      <c r="F15" s="5" t="s">
        <v>1053</v>
      </c>
      <c r="G15" s="5" t="s">
        <v>1092</v>
      </c>
      <c r="H15" s="5" t="s">
        <v>1097</v>
      </c>
      <c r="I15" s="5" t="s">
        <v>103</v>
      </c>
      <c r="J15" s="5" t="s">
        <v>115</v>
      </c>
      <c r="K15" s="19" t="n">
        <f aca="false">COUNTIF(Tasks!$D$5:$D$300,A15)</f>
        <v>0</v>
      </c>
      <c r="L15" s="19" t="n">
        <f aca="false">COUNTIFS(Tasks!$D$5:$D$300,A15,Tasks!$M$5:$M$300,"مكتمل")</f>
        <v>0</v>
      </c>
      <c r="M15" s="19" t="n">
        <f aca="false">COUNTIFS(Tasks!$D$5:$D$300,A15,Tasks!$M$5:$M$300,"قيد التنفيذ")+COUNTIFS(Tasks!$D$5:$D$300,A15,Tasks!$M$5:$M$300,"قيد المراجعة")</f>
        <v>0</v>
      </c>
      <c r="N15" s="19" t="n">
        <f aca="false">COUNTIF(UAT!$B$5:$B$300,A15)</f>
        <v>0</v>
      </c>
      <c r="O15" s="19" t="n">
        <f aca="false">COUNTIFS(UAT!$B$5:$B$300,A15,UAT!$H$5:$H$300,"نجح")</f>
        <v>0</v>
      </c>
      <c r="P15" s="19" t="n">
        <f aca="false">COUNTIFS(UAT!$B$5:$B$300,A15,UAT!$H$5:$H$300,"فشل")</f>
        <v>0</v>
      </c>
      <c r="Q15" s="25" t="str">
        <f aca="false">IF(G15="جاهز","جاهز (أصلي)",IF(K15=0,"—",IF(AND(L15=K15,N15&gt;0,O15=N15),"جاهز",IF(L15=K15,"مكتمل – بانتظار UAT",IF(L15+M15&gt;0,"قيد التنفيذ","لم يبدأ")))))</f>
        <v>جاهز (أصلي)</v>
      </c>
      <c r="R15" s="4"/>
    </row>
    <row r="16" customFormat="false" ht="15" hidden="false" customHeight="true" outlineLevel="0" collapsed="false">
      <c r="A16" s="17" t="s">
        <v>1098</v>
      </c>
      <c r="B16" s="5" t="s">
        <v>1099</v>
      </c>
      <c r="C16" s="5" t="s">
        <v>1100</v>
      </c>
      <c r="D16" s="5" t="s">
        <v>1090</v>
      </c>
      <c r="E16" s="5" t="s">
        <v>1082</v>
      </c>
      <c r="F16" s="5" t="s">
        <v>1053</v>
      </c>
      <c r="G16" s="5" t="s">
        <v>1092</v>
      </c>
      <c r="H16" s="5" t="s">
        <v>1101</v>
      </c>
      <c r="I16" s="5" t="s">
        <v>103</v>
      </c>
      <c r="J16" s="5" t="s">
        <v>115</v>
      </c>
      <c r="K16" s="19" t="n">
        <f aca="false">COUNTIF(Tasks!$D$5:$D$300,A16)</f>
        <v>0</v>
      </c>
      <c r="L16" s="19" t="n">
        <f aca="false">COUNTIFS(Tasks!$D$5:$D$300,A16,Tasks!$M$5:$M$300,"مكتمل")</f>
        <v>0</v>
      </c>
      <c r="M16" s="19" t="n">
        <f aca="false">COUNTIFS(Tasks!$D$5:$D$300,A16,Tasks!$M$5:$M$300,"قيد التنفيذ")+COUNTIFS(Tasks!$D$5:$D$300,A16,Tasks!$M$5:$M$300,"قيد المراجعة")</f>
        <v>0</v>
      </c>
      <c r="N16" s="19" t="n">
        <f aca="false">COUNTIF(UAT!$B$5:$B$300,A16)</f>
        <v>0</v>
      </c>
      <c r="O16" s="19" t="n">
        <f aca="false">COUNTIFS(UAT!$B$5:$B$300,A16,UAT!$H$5:$H$300,"نجح")</f>
        <v>0</v>
      </c>
      <c r="P16" s="19" t="n">
        <f aca="false">COUNTIFS(UAT!$B$5:$B$300,A16,UAT!$H$5:$H$300,"فشل")</f>
        <v>0</v>
      </c>
      <c r="Q16" s="25" t="str">
        <f aca="false">IF(G16="جاهز","جاهز (أصلي)",IF(K16=0,"—",IF(AND(L16=K16,N16&gt;0,O16=N16),"جاهز",IF(L16=K16,"مكتمل – بانتظار UAT",IF(L16+M16&gt;0,"قيد التنفيذ","لم يبدأ")))))</f>
        <v>جاهز (أصلي)</v>
      </c>
      <c r="R16" s="4"/>
    </row>
    <row r="17" customFormat="false" ht="23.25" hidden="false" customHeight="true" outlineLevel="0" collapsed="false">
      <c r="A17" s="17" t="s">
        <v>900</v>
      </c>
      <c r="B17" s="5" t="s">
        <v>1102</v>
      </c>
      <c r="C17" s="5" t="s">
        <v>1103</v>
      </c>
      <c r="D17" s="5" t="s">
        <v>1090</v>
      </c>
      <c r="E17" s="5" t="s">
        <v>1082</v>
      </c>
      <c r="F17" s="5" t="s">
        <v>1053</v>
      </c>
      <c r="G17" s="5" t="s">
        <v>93</v>
      </c>
      <c r="H17" s="5" t="s">
        <v>1104</v>
      </c>
      <c r="I17" s="5" t="s">
        <v>103</v>
      </c>
      <c r="J17" s="5" t="s">
        <v>238</v>
      </c>
      <c r="K17" s="19" t="n">
        <f aca="false">COUNTIF(Tasks!$D$5:$D$300,A17)</f>
        <v>1</v>
      </c>
      <c r="L17" s="19" t="n">
        <f aca="false">COUNTIFS(Tasks!$D$5:$D$300,A17,Tasks!$M$5:$M$300,"مكتمل")</f>
        <v>0</v>
      </c>
      <c r="M17" s="19" t="n">
        <f aca="false">COUNTIFS(Tasks!$D$5:$D$300,A17,Tasks!$M$5:$M$300,"قيد التنفيذ")+COUNTIFS(Tasks!$D$5:$D$300,A17,Tasks!$M$5:$M$300,"قيد المراجعة")</f>
        <v>1</v>
      </c>
      <c r="N17" s="19" t="n">
        <f aca="false">COUNTIF(UAT!$B$5:$B$300,A17)</f>
        <v>2</v>
      </c>
      <c r="O17" s="19" t="n">
        <f aca="false">COUNTIFS(UAT!$B$5:$B$300,A17,UAT!$H$5:$H$300,"نجح")</f>
        <v>0</v>
      </c>
      <c r="P17" s="19" t="n">
        <f aca="false">COUNTIFS(UAT!$B$5:$B$300,A17,UAT!$H$5:$H$300,"فشل")</f>
        <v>0</v>
      </c>
      <c r="Q17" s="25" t="str">
        <f aca="false">IF(G17="جاهز","جاهز (أصلي)",IF(K17=0,"—",IF(AND(L17=K17,N17&gt;0,O17=N17),"جاهز",IF(L17=K17,"مكتمل – بانتظار UAT",IF(L17+M17&gt;0,"قيد التنفيذ","لم يبدأ")))))</f>
        <v>قيد التنفيذ</v>
      </c>
      <c r="R17" s="4"/>
    </row>
    <row r="18" customFormat="false" ht="15" hidden="false" customHeight="true" outlineLevel="0" collapsed="false">
      <c r="A18" s="17" t="s">
        <v>890</v>
      </c>
      <c r="B18" s="5" t="s">
        <v>1105</v>
      </c>
      <c r="C18" s="5" t="s">
        <v>1106</v>
      </c>
      <c r="D18" s="5" t="s">
        <v>1090</v>
      </c>
      <c r="E18" s="5" t="s">
        <v>1091</v>
      </c>
      <c r="F18" s="5" t="s">
        <v>1077</v>
      </c>
      <c r="G18" s="5" t="s">
        <v>1054</v>
      </c>
      <c r="H18" s="5" t="s">
        <v>1107</v>
      </c>
      <c r="I18" s="5" t="s">
        <v>103</v>
      </c>
      <c r="J18" s="5" t="s">
        <v>238</v>
      </c>
      <c r="K18" s="19" t="n">
        <f aca="false">COUNTIF(Tasks!$D$5:$D$300,A18)</f>
        <v>6</v>
      </c>
      <c r="L18" s="19" t="n">
        <f aca="false">COUNTIFS(Tasks!$D$5:$D$300,A18,Tasks!$M$5:$M$300,"مكتمل")</f>
        <v>0</v>
      </c>
      <c r="M18" s="19" t="n">
        <f aca="false">COUNTIFS(Tasks!$D$5:$D$300,A18,Tasks!$M$5:$M$300,"قيد التنفيذ")+COUNTIFS(Tasks!$D$5:$D$300,A18,Tasks!$M$5:$M$300,"قيد المراجعة")</f>
        <v>6</v>
      </c>
      <c r="N18" s="19" t="n">
        <f aca="false">COUNTIF(UAT!$B$5:$B$300,A18)</f>
        <v>3</v>
      </c>
      <c r="O18" s="19" t="n">
        <f aca="false">COUNTIFS(UAT!$B$5:$B$300,A18,UAT!$H$5:$H$300,"نجح")</f>
        <v>0</v>
      </c>
      <c r="P18" s="19" t="n">
        <f aca="false">COUNTIFS(UAT!$B$5:$B$300,A18,UAT!$H$5:$H$300,"فشل")</f>
        <v>0</v>
      </c>
      <c r="Q18" s="25" t="str">
        <f aca="false">IF(G18="جاهز","جاهز (أصلي)",IF(K18=0,"—",IF(AND(L18=K18,N18&gt;0,O18=N18),"جاهز",IF(L18=K18,"مكتمل – بانتظار UAT",IF(L18+M18&gt;0,"قيد التنفيذ","لم يبدأ")))))</f>
        <v>قيد التنفيذ</v>
      </c>
      <c r="R18" s="4"/>
    </row>
    <row r="19" customFormat="false" ht="15" hidden="false" customHeight="true" outlineLevel="0" collapsed="false">
      <c r="A19" s="17" t="s">
        <v>1108</v>
      </c>
      <c r="B19" s="5" t="s">
        <v>1109</v>
      </c>
      <c r="C19" s="5" t="s">
        <v>1110</v>
      </c>
      <c r="D19" s="5" t="s">
        <v>1090</v>
      </c>
      <c r="E19" s="5" t="s">
        <v>1091</v>
      </c>
      <c r="F19" s="5" t="s">
        <v>1053</v>
      </c>
      <c r="G19" s="5" t="s">
        <v>1092</v>
      </c>
      <c r="H19" s="5" t="s">
        <v>1111</v>
      </c>
      <c r="I19" s="5" t="s">
        <v>103</v>
      </c>
      <c r="J19" s="5" t="s">
        <v>115</v>
      </c>
      <c r="K19" s="19" t="n">
        <f aca="false">COUNTIF(Tasks!$D$5:$D$300,A19)</f>
        <v>0</v>
      </c>
      <c r="L19" s="19" t="n">
        <f aca="false">COUNTIFS(Tasks!$D$5:$D$300,A19,Tasks!$M$5:$M$300,"مكتمل")</f>
        <v>0</v>
      </c>
      <c r="M19" s="19" t="n">
        <f aca="false">COUNTIFS(Tasks!$D$5:$D$300,A19,Tasks!$M$5:$M$300,"قيد التنفيذ")+COUNTIFS(Tasks!$D$5:$D$300,A19,Tasks!$M$5:$M$300,"قيد المراجعة")</f>
        <v>0</v>
      </c>
      <c r="N19" s="19" t="n">
        <f aca="false">COUNTIF(UAT!$B$5:$B$300,A19)</f>
        <v>0</v>
      </c>
      <c r="O19" s="19" t="n">
        <f aca="false">COUNTIFS(UAT!$B$5:$B$300,A19,UAT!$H$5:$H$300,"نجح")</f>
        <v>0</v>
      </c>
      <c r="P19" s="19" t="n">
        <f aca="false">COUNTIFS(UAT!$B$5:$B$300,A19,UAT!$H$5:$H$300,"فشل")</f>
        <v>0</v>
      </c>
      <c r="Q19" s="25" t="str">
        <f aca="false">IF(G19="جاهز","جاهز (أصلي)",IF(K19=0,"—",IF(AND(L19=K19,N19&gt;0,O19=N19),"جاهز",IF(L19=K19,"مكتمل – بانتظار UAT",IF(L19+M19&gt;0,"قيد التنفيذ","لم يبدأ")))))</f>
        <v>جاهز (أصلي)</v>
      </c>
      <c r="R19" s="4"/>
    </row>
    <row r="20" customFormat="false" ht="23.25" hidden="false" customHeight="true" outlineLevel="0" collapsed="false">
      <c r="A20" s="17" t="s">
        <v>1112</v>
      </c>
      <c r="B20" s="5" t="s">
        <v>1113</v>
      </c>
      <c r="C20" s="5" t="s">
        <v>1114</v>
      </c>
      <c r="D20" s="5" t="s">
        <v>1115</v>
      </c>
      <c r="E20" s="5" t="s">
        <v>1076</v>
      </c>
      <c r="F20" s="5" t="s">
        <v>1053</v>
      </c>
      <c r="G20" s="5" t="s">
        <v>1092</v>
      </c>
      <c r="H20" s="5" t="s">
        <v>1116</v>
      </c>
      <c r="I20" s="5" t="s">
        <v>103</v>
      </c>
      <c r="J20" s="5" t="s">
        <v>115</v>
      </c>
      <c r="K20" s="19" t="n">
        <f aca="false">COUNTIF(Tasks!$D$5:$D$300,A20)</f>
        <v>0</v>
      </c>
      <c r="L20" s="19" t="n">
        <f aca="false">COUNTIFS(Tasks!$D$5:$D$300,A20,Tasks!$M$5:$M$300,"مكتمل")</f>
        <v>0</v>
      </c>
      <c r="M20" s="19" t="n">
        <f aca="false">COUNTIFS(Tasks!$D$5:$D$300,A20,Tasks!$M$5:$M$300,"قيد التنفيذ")+COUNTIFS(Tasks!$D$5:$D$300,A20,Tasks!$M$5:$M$300,"قيد المراجعة")</f>
        <v>0</v>
      </c>
      <c r="N20" s="19" t="n">
        <f aca="false">COUNTIF(UAT!$B$5:$B$300,A20)</f>
        <v>0</v>
      </c>
      <c r="O20" s="19" t="n">
        <f aca="false">COUNTIFS(UAT!$B$5:$B$300,A20,UAT!$H$5:$H$300,"نجح")</f>
        <v>0</v>
      </c>
      <c r="P20" s="19" t="n">
        <f aca="false">COUNTIFS(UAT!$B$5:$B$300,A20,UAT!$H$5:$H$300,"فشل")</f>
        <v>0</v>
      </c>
      <c r="Q20" s="25" t="str">
        <f aca="false">IF(G20="جاهز","جاهز (أصلي)",IF(K20=0,"—",IF(AND(L20=K20,N20&gt;0,O20=N20),"جاهز",IF(L20=K20,"مكتمل – بانتظار UAT",IF(L20+M20&gt;0,"قيد التنفيذ","لم يبدأ")))))</f>
        <v>جاهز (أصلي)</v>
      </c>
      <c r="R20" s="4"/>
    </row>
    <row r="21" customFormat="false" ht="23.25" hidden="false" customHeight="true" outlineLevel="0" collapsed="false">
      <c r="A21" s="17" t="s">
        <v>1117</v>
      </c>
      <c r="B21" s="5" t="s">
        <v>1118</v>
      </c>
      <c r="C21" s="5" t="s">
        <v>1119</v>
      </c>
      <c r="D21" s="5" t="s">
        <v>1115</v>
      </c>
      <c r="E21" s="5" t="s">
        <v>1076</v>
      </c>
      <c r="F21" s="5" t="s">
        <v>1053</v>
      </c>
      <c r="G21" s="5" t="s">
        <v>1092</v>
      </c>
      <c r="H21" s="5" t="s">
        <v>1120</v>
      </c>
      <c r="I21" s="5" t="s">
        <v>103</v>
      </c>
      <c r="J21" s="5" t="s">
        <v>115</v>
      </c>
      <c r="K21" s="19" t="n">
        <f aca="false">COUNTIF(Tasks!$D$5:$D$300,A21)</f>
        <v>0</v>
      </c>
      <c r="L21" s="19" t="n">
        <f aca="false">COUNTIFS(Tasks!$D$5:$D$300,A21,Tasks!$M$5:$M$300,"مكتمل")</f>
        <v>0</v>
      </c>
      <c r="M21" s="19" t="n">
        <f aca="false">COUNTIFS(Tasks!$D$5:$D$300,A21,Tasks!$M$5:$M$300,"قيد التنفيذ")+COUNTIFS(Tasks!$D$5:$D$300,A21,Tasks!$M$5:$M$300,"قيد المراجعة")</f>
        <v>0</v>
      </c>
      <c r="N21" s="19" t="n">
        <f aca="false">COUNTIF(UAT!$B$5:$B$300,A21)</f>
        <v>0</v>
      </c>
      <c r="O21" s="19" t="n">
        <f aca="false">COUNTIFS(UAT!$B$5:$B$300,A21,UAT!$H$5:$H$300,"نجح")</f>
        <v>0</v>
      </c>
      <c r="P21" s="19" t="n">
        <f aca="false">COUNTIFS(UAT!$B$5:$B$300,A21,UAT!$H$5:$H$300,"فشل")</f>
        <v>0</v>
      </c>
      <c r="Q21" s="25" t="str">
        <f aca="false">IF(G21="جاهز","جاهز (أصلي)",IF(K21=0,"—",IF(AND(L21=K21,N21&gt;0,O21=N21),"جاهز",IF(L21=K21,"مكتمل – بانتظار UAT",IF(L21+M21&gt;0,"قيد التنفيذ","لم يبدأ")))))</f>
        <v>جاهز (أصلي)</v>
      </c>
      <c r="R21" s="4"/>
    </row>
    <row r="22" customFormat="false" ht="23.25" hidden="false" customHeight="true" outlineLevel="0" collapsed="false">
      <c r="A22" s="17" t="s">
        <v>1121</v>
      </c>
      <c r="B22" s="5" t="s">
        <v>1122</v>
      </c>
      <c r="C22" s="5" t="s">
        <v>1123</v>
      </c>
      <c r="D22" s="5" t="s">
        <v>1115</v>
      </c>
      <c r="E22" s="5" t="s">
        <v>1076</v>
      </c>
      <c r="F22" s="5" t="s">
        <v>1053</v>
      </c>
      <c r="G22" s="5" t="s">
        <v>1092</v>
      </c>
      <c r="H22" s="5" t="s">
        <v>1124</v>
      </c>
      <c r="I22" s="5" t="s">
        <v>103</v>
      </c>
      <c r="J22" s="5" t="s">
        <v>115</v>
      </c>
      <c r="K22" s="19" t="n">
        <f aca="false">COUNTIF(Tasks!$D$5:$D$300,A22)</f>
        <v>0</v>
      </c>
      <c r="L22" s="19" t="n">
        <f aca="false">COUNTIFS(Tasks!$D$5:$D$300,A22,Tasks!$M$5:$M$300,"مكتمل")</f>
        <v>0</v>
      </c>
      <c r="M22" s="19" t="n">
        <f aca="false">COUNTIFS(Tasks!$D$5:$D$300,A22,Tasks!$M$5:$M$300,"قيد التنفيذ")+COUNTIFS(Tasks!$D$5:$D$300,A22,Tasks!$M$5:$M$300,"قيد المراجعة")</f>
        <v>0</v>
      </c>
      <c r="N22" s="19" t="n">
        <f aca="false">COUNTIF(UAT!$B$5:$B$300,A22)</f>
        <v>0</v>
      </c>
      <c r="O22" s="19" t="n">
        <f aca="false">COUNTIFS(UAT!$B$5:$B$300,A22,UAT!$H$5:$H$300,"نجح")</f>
        <v>0</v>
      </c>
      <c r="P22" s="19" t="n">
        <f aca="false">COUNTIFS(UAT!$B$5:$B$300,A22,UAT!$H$5:$H$300,"فشل")</f>
        <v>0</v>
      </c>
      <c r="Q22" s="25" t="str">
        <f aca="false">IF(G22="جاهز","جاهز (أصلي)",IF(K22=0,"—",IF(AND(L22=K22,N22&gt;0,O22=N22),"جاهز",IF(L22=K22,"مكتمل – بانتظار UAT",IF(L22+M22&gt;0,"قيد التنفيذ","لم يبدأ")))))</f>
        <v>جاهز (أصلي)</v>
      </c>
      <c r="R22" s="4"/>
    </row>
    <row r="23" customFormat="false" ht="23.25" hidden="false" customHeight="true" outlineLevel="0" collapsed="false">
      <c r="A23" s="17" t="s">
        <v>1125</v>
      </c>
      <c r="B23" s="5" t="s">
        <v>1126</v>
      </c>
      <c r="C23" s="5" t="s">
        <v>1127</v>
      </c>
      <c r="D23" s="5" t="s">
        <v>1115</v>
      </c>
      <c r="E23" s="5" t="s">
        <v>1076</v>
      </c>
      <c r="F23" s="5" t="s">
        <v>1053</v>
      </c>
      <c r="G23" s="5" t="s">
        <v>1092</v>
      </c>
      <c r="H23" s="5" t="s">
        <v>1128</v>
      </c>
      <c r="I23" s="5" t="s">
        <v>103</v>
      </c>
      <c r="J23" s="5" t="s">
        <v>115</v>
      </c>
      <c r="K23" s="19" t="n">
        <f aca="false">COUNTIF(Tasks!$D$5:$D$300,A23)</f>
        <v>0</v>
      </c>
      <c r="L23" s="19" t="n">
        <f aca="false">COUNTIFS(Tasks!$D$5:$D$300,A23,Tasks!$M$5:$M$300,"مكتمل")</f>
        <v>0</v>
      </c>
      <c r="M23" s="19" t="n">
        <f aca="false">COUNTIFS(Tasks!$D$5:$D$300,A23,Tasks!$M$5:$M$300,"قيد التنفيذ")+COUNTIFS(Tasks!$D$5:$D$300,A23,Tasks!$M$5:$M$300,"قيد المراجعة")</f>
        <v>0</v>
      </c>
      <c r="N23" s="19" t="n">
        <f aca="false">COUNTIF(UAT!$B$5:$B$300,A23)</f>
        <v>0</v>
      </c>
      <c r="O23" s="19" t="n">
        <f aca="false">COUNTIFS(UAT!$B$5:$B$300,A23,UAT!$H$5:$H$300,"نجح")</f>
        <v>0</v>
      </c>
      <c r="P23" s="19" t="n">
        <f aca="false">COUNTIFS(UAT!$B$5:$B$300,A23,UAT!$H$5:$H$300,"فشل")</f>
        <v>0</v>
      </c>
      <c r="Q23" s="25" t="str">
        <f aca="false">IF(G23="جاهز","جاهز (أصلي)",IF(K23=0,"—",IF(AND(L23=K23,N23&gt;0,O23=N23),"جاهز",IF(L23=K23,"مكتمل – بانتظار UAT",IF(L23+M23&gt;0,"قيد التنفيذ","لم يبدأ")))))</f>
        <v>جاهز (أصلي)</v>
      </c>
      <c r="R23" s="4"/>
    </row>
    <row r="24" customFormat="false" ht="23.25" hidden="false" customHeight="true" outlineLevel="0" collapsed="false">
      <c r="A24" s="17" t="s">
        <v>1129</v>
      </c>
      <c r="B24" s="5" t="s">
        <v>1130</v>
      </c>
      <c r="C24" s="5" t="s">
        <v>1131</v>
      </c>
      <c r="D24" s="5" t="s">
        <v>1115</v>
      </c>
      <c r="E24" s="5" t="s">
        <v>1076</v>
      </c>
      <c r="F24" s="5" t="s">
        <v>1053</v>
      </c>
      <c r="G24" s="5" t="s">
        <v>1092</v>
      </c>
      <c r="H24" s="5" t="s">
        <v>1132</v>
      </c>
      <c r="I24" s="5" t="s">
        <v>103</v>
      </c>
      <c r="J24" s="5" t="s">
        <v>115</v>
      </c>
      <c r="K24" s="19" t="n">
        <f aca="false">COUNTIF(Tasks!$D$5:$D$300,A24)</f>
        <v>0</v>
      </c>
      <c r="L24" s="19" t="n">
        <f aca="false">COUNTIFS(Tasks!$D$5:$D$300,A24,Tasks!$M$5:$M$300,"مكتمل")</f>
        <v>0</v>
      </c>
      <c r="M24" s="19" t="n">
        <f aca="false">COUNTIFS(Tasks!$D$5:$D$300,A24,Tasks!$M$5:$M$300,"قيد التنفيذ")+COUNTIFS(Tasks!$D$5:$D$300,A24,Tasks!$M$5:$M$300,"قيد المراجعة")</f>
        <v>0</v>
      </c>
      <c r="N24" s="19" t="n">
        <f aca="false">COUNTIF(UAT!$B$5:$B$300,A24)</f>
        <v>0</v>
      </c>
      <c r="O24" s="19" t="n">
        <f aca="false">COUNTIFS(UAT!$B$5:$B$300,A24,UAT!$H$5:$H$300,"نجح")</f>
        <v>0</v>
      </c>
      <c r="P24" s="19" t="n">
        <f aca="false">COUNTIFS(UAT!$B$5:$B$300,A24,UAT!$H$5:$H$300,"فشل")</f>
        <v>0</v>
      </c>
      <c r="Q24" s="25" t="str">
        <f aca="false">IF(G24="جاهز","جاهز (أصلي)",IF(K24=0,"—",IF(AND(L24=K24,N24&gt;0,O24=N24),"جاهز",IF(L24=K24,"مكتمل – بانتظار UAT",IF(L24+M24&gt;0,"قيد التنفيذ","لم يبدأ")))))</f>
        <v>جاهز (أصلي)</v>
      </c>
      <c r="R24" s="4"/>
    </row>
    <row r="25" customFormat="false" ht="23.25" hidden="false" customHeight="true" outlineLevel="0" collapsed="false">
      <c r="A25" s="17" t="s">
        <v>779</v>
      </c>
      <c r="B25" s="5" t="s">
        <v>1133</v>
      </c>
      <c r="C25" s="5" t="s">
        <v>780</v>
      </c>
      <c r="D25" s="5" t="s">
        <v>1115</v>
      </c>
      <c r="E25" s="5" t="s">
        <v>1076</v>
      </c>
      <c r="F25" s="5" t="s">
        <v>1053</v>
      </c>
      <c r="G25" s="5" t="s">
        <v>93</v>
      </c>
      <c r="H25" s="5" t="s">
        <v>1134</v>
      </c>
      <c r="I25" s="5" t="s">
        <v>103</v>
      </c>
      <c r="J25" s="5" t="s">
        <v>228</v>
      </c>
      <c r="K25" s="19" t="n">
        <f aca="false">COUNTIF(Tasks!$D$5:$D$300,A25)</f>
        <v>3</v>
      </c>
      <c r="L25" s="19" t="n">
        <f aca="false">COUNTIFS(Tasks!$D$5:$D$300,A25,Tasks!$M$5:$M$300,"مكتمل")</f>
        <v>0</v>
      </c>
      <c r="M25" s="19" t="n">
        <f aca="false">COUNTIFS(Tasks!$D$5:$D$300,A25,Tasks!$M$5:$M$300,"قيد التنفيذ")+COUNTIFS(Tasks!$D$5:$D$300,A25,Tasks!$M$5:$M$300,"قيد المراجعة")</f>
        <v>3</v>
      </c>
      <c r="N25" s="19" t="n">
        <f aca="false">COUNTIF(UAT!$B$5:$B$300,A25)</f>
        <v>3</v>
      </c>
      <c r="O25" s="19" t="n">
        <f aca="false">COUNTIFS(UAT!$B$5:$B$300,A25,UAT!$H$5:$H$300,"نجح")</f>
        <v>0</v>
      </c>
      <c r="P25" s="19" t="n">
        <f aca="false">COUNTIFS(UAT!$B$5:$B$300,A25,UAT!$H$5:$H$300,"فشل")</f>
        <v>0</v>
      </c>
      <c r="Q25" s="25" t="str">
        <f aca="false">IF(G25="جاهز","جاهز (أصلي)",IF(K25=0,"—",IF(AND(L25=K25,N25&gt;0,O25=N25),"جاهز",IF(L25=K25,"مكتمل – بانتظار UAT",IF(L25+M25&gt;0,"قيد التنفيذ","لم يبدأ")))))</f>
        <v>قيد التنفيذ</v>
      </c>
      <c r="R25" s="4"/>
    </row>
    <row r="26" customFormat="false" ht="23.25" hidden="false" customHeight="true" outlineLevel="0" collapsed="false">
      <c r="A26" s="17" t="s">
        <v>787</v>
      </c>
      <c r="B26" s="5" t="s">
        <v>1135</v>
      </c>
      <c r="C26" s="5" t="s">
        <v>788</v>
      </c>
      <c r="D26" s="5" t="s">
        <v>1115</v>
      </c>
      <c r="E26" s="5" t="s">
        <v>1076</v>
      </c>
      <c r="F26" s="5" t="s">
        <v>1053</v>
      </c>
      <c r="G26" s="5" t="s">
        <v>93</v>
      </c>
      <c r="H26" s="5" t="s">
        <v>1136</v>
      </c>
      <c r="I26" s="5" t="s">
        <v>103</v>
      </c>
      <c r="J26" s="5" t="s">
        <v>228</v>
      </c>
      <c r="K26" s="19" t="n">
        <f aca="false">COUNTIF(Tasks!$D$5:$D$300,A26)</f>
        <v>3</v>
      </c>
      <c r="L26" s="19" t="n">
        <f aca="false">COUNTIFS(Tasks!$D$5:$D$300,A26,Tasks!$M$5:$M$300,"مكتمل")</f>
        <v>0</v>
      </c>
      <c r="M26" s="19" t="n">
        <f aca="false">COUNTIFS(Tasks!$D$5:$D$300,A26,Tasks!$M$5:$M$300,"قيد التنفيذ")+COUNTIFS(Tasks!$D$5:$D$300,A26,Tasks!$M$5:$M$300,"قيد المراجعة")</f>
        <v>3</v>
      </c>
      <c r="N26" s="19" t="n">
        <f aca="false">COUNTIF(UAT!$B$5:$B$300,A26)</f>
        <v>3</v>
      </c>
      <c r="O26" s="19" t="n">
        <f aca="false">COUNTIFS(UAT!$B$5:$B$300,A26,UAT!$H$5:$H$300,"نجح")</f>
        <v>0</v>
      </c>
      <c r="P26" s="19" t="n">
        <f aca="false">COUNTIFS(UAT!$B$5:$B$300,A26,UAT!$H$5:$H$300,"فشل")</f>
        <v>0</v>
      </c>
      <c r="Q26" s="25" t="str">
        <f aca="false">IF(G26="جاهز","جاهز (أصلي)",IF(K26=0,"—",IF(AND(L26=K26,N26&gt;0,O26=N26),"جاهز",IF(L26=K26,"مكتمل – بانتظار UAT",IF(L26+M26&gt;0,"قيد التنفيذ","لم يبدأ")))))</f>
        <v>قيد التنفيذ</v>
      </c>
      <c r="R26" s="4"/>
    </row>
    <row r="27" customFormat="false" ht="23.25" hidden="false" customHeight="true" outlineLevel="0" collapsed="false">
      <c r="A27" s="17" t="s">
        <v>355</v>
      </c>
      <c r="B27" s="5" t="s">
        <v>1137</v>
      </c>
      <c r="C27" s="5" t="s">
        <v>1138</v>
      </c>
      <c r="D27" s="5" t="s">
        <v>1115</v>
      </c>
      <c r="E27" s="5" t="s">
        <v>1076</v>
      </c>
      <c r="F27" s="5" t="s">
        <v>1053</v>
      </c>
      <c r="G27" s="5" t="s">
        <v>93</v>
      </c>
      <c r="H27" s="5" t="s">
        <v>1139</v>
      </c>
      <c r="I27" s="5" t="s">
        <v>103</v>
      </c>
      <c r="J27" s="5" t="s">
        <v>230</v>
      </c>
      <c r="K27" s="19" t="n">
        <f aca="false">COUNTIF(Tasks!$D$5:$D$300,A27)</f>
        <v>4</v>
      </c>
      <c r="L27" s="19" t="n">
        <f aca="false">COUNTIFS(Tasks!$D$5:$D$300,A27,Tasks!$M$5:$M$300,"مكتمل")</f>
        <v>0</v>
      </c>
      <c r="M27" s="19" t="n">
        <f aca="false">COUNTIFS(Tasks!$D$5:$D$300,A27,Tasks!$M$5:$M$300,"قيد التنفيذ")+COUNTIFS(Tasks!$D$5:$D$300,A27,Tasks!$M$5:$M$300,"قيد المراجعة")</f>
        <v>4</v>
      </c>
      <c r="N27" s="19" t="n">
        <f aca="false">COUNTIF(UAT!$B$5:$B$300,A27)</f>
        <v>3</v>
      </c>
      <c r="O27" s="19" t="n">
        <f aca="false">COUNTIFS(UAT!$B$5:$B$300,A27,UAT!$H$5:$H$300,"نجح")</f>
        <v>0</v>
      </c>
      <c r="P27" s="19" t="n">
        <f aca="false">COUNTIFS(UAT!$B$5:$B$300,A27,UAT!$H$5:$H$300,"فشل")</f>
        <v>0</v>
      </c>
      <c r="Q27" s="25" t="str">
        <f aca="false">IF(G27="جاهز","جاهز (أصلي)",IF(K27=0,"—",IF(AND(L27=K27,N27&gt;0,O27=N27),"جاهز",IF(L27=K27,"مكتمل – بانتظار UAT",IF(L27+M27&gt;0,"قيد التنفيذ","لم يبدأ")))))</f>
        <v>قيد التنفيذ</v>
      </c>
      <c r="R27" s="4"/>
    </row>
    <row r="28" customFormat="false" ht="23.25" hidden="false" customHeight="true" outlineLevel="0" collapsed="false">
      <c r="A28" s="17" t="s">
        <v>358</v>
      </c>
      <c r="B28" s="5" t="s">
        <v>1088</v>
      </c>
      <c r="C28" s="5" t="s">
        <v>129</v>
      </c>
      <c r="D28" s="5" t="s">
        <v>1115</v>
      </c>
      <c r="E28" s="5" t="s">
        <v>1076</v>
      </c>
      <c r="F28" s="5" t="s">
        <v>1053</v>
      </c>
      <c r="G28" s="5" t="s">
        <v>1054</v>
      </c>
      <c r="H28" s="5" t="s">
        <v>1140</v>
      </c>
      <c r="I28" s="5" t="s">
        <v>103</v>
      </c>
      <c r="J28" s="5" t="s">
        <v>232</v>
      </c>
      <c r="K28" s="19" t="n">
        <f aca="false">COUNTIF(Tasks!$D$5:$D$300,A28)</f>
        <v>5</v>
      </c>
      <c r="L28" s="19" t="n">
        <f aca="false">COUNTIFS(Tasks!$D$5:$D$300,A28,Tasks!$M$5:$M$300,"مكتمل")</f>
        <v>0</v>
      </c>
      <c r="M28" s="19" t="n">
        <f aca="false">COUNTIFS(Tasks!$D$5:$D$300,A28,Tasks!$M$5:$M$300,"قيد التنفيذ")+COUNTIFS(Tasks!$D$5:$D$300,A28,Tasks!$M$5:$M$300,"قيد المراجعة")</f>
        <v>5</v>
      </c>
      <c r="N28" s="19" t="n">
        <f aca="false">COUNTIF(UAT!$B$5:$B$300,A28)</f>
        <v>3</v>
      </c>
      <c r="O28" s="19" t="n">
        <f aca="false">COUNTIFS(UAT!$B$5:$B$300,A28,UAT!$H$5:$H$300,"نجح")</f>
        <v>0</v>
      </c>
      <c r="P28" s="19" t="n">
        <f aca="false">COUNTIFS(UAT!$B$5:$B$300,A28,UAT!$H$5:$H$300,"فشل")</f>
        <v>0</v>
      </c>
      <c r="Q28" s="25" t="str">
        <f aca="false">IF(G28="جاهز","جاهز (أصلي)",IF(K28=0,"—",IF(AND(L28=K28,N28&gt;0,O28=N28),"جاهز",IF(L28=K28,"مكتمل – بانتظار UAT",IF(L28+M28&gt;0,"قيد التنفيذ","لم يبدأ")))))</f>
        <v>قيد التنفيذ</v>
      </c>
      <c r="R28" s="4"/>
    </row>
    <row r="29" customFormat="false" ht="23.25" hidden="false" customHeight="true" outlineLevel="0" collapsed="false">
      <c r="A29" s="17" t="s">
        <v>361</v>
      </c>
      <c r="B29" s="5" t="s">
        <v>1141</v>
      </c>
      <c r="C29" s="5" t="s">
        <v>1142</v>
      </c>
      <c r="D29" s="5" t="s">
        <v>1115</v>
      </c>
      <c r="E29" s="5" t="s">
        <v>1076</v>
      </c>
      <c r="F29" s="5" t="s">
        <v>1053</v>
      </c>
      <c r="G29" s="5" t="s">
        <v>1054</v>
      </c>
      <c r="H29" s="5" t="s">
        <v>1143</v>
      </c>
      <c r="I29" s="5" t="s">
        <v>103</v>
      </c>
      <c r="J29" s="5" t="s">
        <v>234</v>
      </c>
      <c r="K29" s="19" t="n">
        <f aca="false">COUNTIF(Tasks!$D$5:$D$300,A29)</f>
        <v>4</v>
      </c>
      <c r="L29" s="19" t="n">
        <f aca="false">COUNTIFS(Tasks!$D$5:$D$300,A29,Tasks!$M$5:$M$300,"مكتمل")</f>
        <v>0</v>
      </c>
      <c r="M29" s="19" t="n">
        <f aca="false">COUNTIFS(Tasks!$D$5:$D$300,A29,Tasks!$M$5:$M$300,"قيد التنفيذ")+COUNTIFS(Tasks!$D$5:$D$300,A29,Tasks!$M$5:$M$300,"قيد المراجعة")</f>
        <v>4</v>
      </c>
      <c r="N29" s="19" t="n">
        <f aca="false">COUNTIF(UAT!$B$5:$B$300,A29)</f>
        <v>2</v>
      </c>
      <c r="O29" s="19" t="n">
        <f aca="false">COUNTIFS(UAT!$B$5:$B$300,A29,UAT!$H$5:$H$300,"نجح")</f>
        <v>0</v>
      </c>
      <c r="P29" s="19" t="n">
        <f aca="false">COUNTIFS(UAT!$B$5:$B$300,A29,UAT!$H$5:$H$300,"فشل")</f>
        <v>0</v>
      </c>
      <c r="Q29" s="25" t="str">
        <f aca="false">IF(G29="جاهز","جاهز (أصلي)",IF(K29=0,"—",IF(AND(L29=K29,N29&gt;0,O29=N29),"جاهز",IF(L29=K29,"مكتمل – بانتظار UAT",IF(L29+M29&gt;0,"قيد التنفيذ","لم يبدأ")))))</f>
        <v>قيد التنفيذ</v>
      </c>
      <c r="R29" s="4"/>
    </row>
    <row r="30" customFormat="false" ht="23.25" hidden="false" customHeight="true" outlineLevel="0" collapsed="false">
      <c r="A30" s="17" t="s">
        <v>364</v>
      </c>
      <c r="B30" s="5" t="s">
        <v>1144</v>
      </c>
      <c r="C30" s="5" t="s">
        <v>1145</v>
      </c>
      <c r="D30" s="5" t="s">
        <v>1115</v>
      </c>
      <c r="E30" s="5" t="s">
        <v>1076</v>
      </c>
      <c r="F30" s="5" t="s">
        <v>1053</v>
      </c>
      <c r="G30" s="5" t="s">
        <v>1054</v>
      </c>
      <c r="H30" s="5" t="s">
        <v>1146</v>
      </c>
      <c r="I30" s="5" t="s">
        <v>103</v>
      </c>
      <c r="J30" s="5" t="s">
        <v>236</v>
      </c>
      <c r="K30" s="19" t="n">
        <f aca="false">COUNTIF(Tasks!$D$5:$D$300,A30)</f>
        <v>5</v>
      </c>
      <c r="L30" s="19" t="n">
        <f aca="false">COUNTIFS(Tasks!$D$5:$D$300,A30,Tasks!$M$5:$M$300,"مكتمل")</f>
        <v>0</v>
      </c>
      <c r="M30" s="19" t="n">
        <f aca="false">COUNTIFS(Tasks!$D$5:$D$300,A30,Tasks!$M$5:$M$300,"قيد التنفيذ")+COUNTIFS(Tasks!$D$5:$D$300,A30,Tasks!$M$5:$M$300,"قيد المراجعة")</f>
        <v>5</v>
      </c>
      <c r="N30" s="19" t="n">
        <f aca="false">COUNTIF(UAT!$B$5:$B$300,A30)</f>
        <v>2</v>
      </c>
      <c r="O30" s="19" t="n">
        <f aca="false">COUNTIFS(UAT!$B$5:$B$300,A30,UAT!$H$5:$H$300,"نجح")</f>
        <v>0</v>
      </c>
      <c r="P30" s="19" t="n">
        <f aca="false">COUNTIFS(UAT!$B$5:$B$300,A30,UAT!$H$5:$H$300,"فشل")</f>
        <v>0</v>
      </c>
      <c r="Q30" s="25" t="str">
        <f aca="false">IF(G30="جاهز","جاهز (أصلي)",IF(K30=0,"—",IF(AND(L30=K30,N30&gt;0,O30=N30),"جاهز",IF(L30=K30,"مكتمل – بانتظار UAT",IF(L30+M30&gt;0,"قيد التنفيذ","لم يبدأ")))))</f>
        <v>قيد التنفيذ</v>
      </c>
      <c r="R30" s="4"/>
    </row>
    <row r="31" customFormat="false" ht="23.25" hidden="false" customHeight="true" outlineLevel="0" collapsed="false">
      <c r="A31" s="17" t="s">
        <v>1147</v>
      </c>
      <c r="B31" s="5" t="s">
        <v>1148</v>
      </c>
      <c r="C31" s="5" t="s">
        <v>1149</v>
      </c>
      <c r="D31" s="5" t="s">
        <v>1115</v>
      </c>
      <c r="E31" s="5" t="s">
        <v>1076</v>
      </c>
      <c r="F31" s="5" t="s">
        <v>1053</v>
      </c>
      <c r="G31" s="5" t="s">
        <v>1092</v>
      </c>
      <c r="H31" s="5" t="s">
        <v>1150</v>
      </c>
      <c r="I31" s="5" t="s">
        <v>103</v>
      </c>
      <c r="J31" s="5" t="s">
        <v>115</v>
      </c>
      <c r="K31" s="19" t="n">
        <f aca="false">COUNTIF(Tasks!$D$5:$D$300,A31)</f>
        <v>0</v>
      </c>
      <c r="L31" s="19" t="n">
        <f aca="false">COUNTIFS(Tasks!$D$5:$D$300,A31,Tasks!$M$5:$M$300,"مكتمل")</f>
        <v>0</v>
      </c>
      <c r="M31" s="19" t="n">
        <f aca="false">COUNTIFS(Tasks!$D$5:$D$300,A31,Tasks!$M$5:$M$300,"قيد التنفيذ")+COUNTIFS(Tasks!$D$5:$D$300,A31,Tasks!$M$5:$M$300,"قيد المراجعة")</f>
        <v>0</v>
      </c>
      <c r="N31" s="19" t="n">
        <f aca="false">COUNTIF(UAT!$B$5:$B$300,A31)</f>
        <v>0</v>
      </c>
      <c r="O31" s="19" t="n">
        <f aca="false">COUNTIFS(UAT!$B$5:$B$300,A31,UAT!$H$5:$H$300,"نجح")</f>
        <v>0</v>
      </c>
      <c r="P31" s="19" t="n">
        <f aca="false">COUNTIFS(UAT!$B$5:$B$300,A31,UAT!$H$5:$H$300,"فشل")</f>
        <v>0</v>
      </c>
      <c r="Q31" s="25" t="str">
        <f aca="false">IF(G31="جاهز","جاهز (أصلي)",IF(K31=0,"—",IF(AND(L31=K31,N31&gt;0,O31=N31),"جاهز",IF(L31=K31,"مكتمل – بانتظار UAT",IF(L31+M31&gt;0,"قيد التنفيذ","لم يبدأ")))))</f>
        <v>جاهز (أصلي)</v>
      </c>
      <c r="R31" s="4"/>
    </row>
    <row r="32" customFormat="false" ht="23.25" hidden="false" customHeight="true" outlineLevel="0" collapsed="false">
      <c r="A32" s="17" t="s">
        <v>1151</v>
      </c>
      <c r="B32" s="5" t="s">
        <v>1152</v>
      </c>
      <c r="C32" s="5" t="s">
        <v>1153</v>
      </c>
      <c r="D32" s="5" t="s">
        <v>1115</v>
      </c>
      <c r="E32" s="5" t="s">
        <v>1076</v>
      </c>
      <c r="F32" s="5" t="s">
        <v>1053</v>
      </c>
      <c r="G32" s="5" t="s">
        <v>1092</v>
      </c>
      <c r="H32" s="5" t="s">
        <v>1154</v>
      </c>
      <c r="I32" s="5" t="s">
        <v>103</v>
      </c>
      <c r="J32" s="5" t="s">
        <v>115</v>
      </c>
      <c r="K32" s="19" t="n">
        <f aca="false">COUNTIF(Tasks!$D$5:$D$300,A32)</f>
        <v>0</v>
      </c>
      <c r="L32" s="19" t="n">
        <f aca="false">COUNTIFS(Tasks!$D$5:$D$300,A32,Tasks!$M$5:$M$300,"مكتمل")</f>
        <v>0</v>
      </c>
      <c r="M32" s="19" t="n">
        <f aca="false">COUNTIFS(Tasks!$D$5:$D$300,A32,Tasks!$M$5:$M$300,"قيد التنفيذ")+COUNTIFS(Tasks!$D$5:$D$300,A32,Tasks!$M$5:$M$300,"قيد المراجعة")</f>
        <v>0</v>
      </c>
      <c r="N32" s="19" t="n">
        <f aca="false">COUNTIF(UAT!$B$5:$B$300,A32)</f>
        <v>0</v>
      </c>
      <c r="O32" s="19" t="n">
        <f aca="false">COUNTIFS(UAT!$B$5:$B$300,A32,UAT!$H$5:$H$300,"نجح")</f>
        <v>0</v>
      </c>
      <c r="P32" s="19" t="n">
        <f aca="false">COUNTIFS(UAT!$B$5:$B$300,A32,UAT!$H$5:$H$300,"فشل")</f>
        <v>0</v>
      </c>
      <c r="Q32" s="25" t="str">
        <f aca="false">IF(G32="جاهز","جاهز (أصلي)",IF(K32=0,"—",IF(AND(L32=K32,N32&gt;0,O32=N32),"جاهز",IF(L32=K32,"مكتمل – بانتظار UAT",IF(L32+M32&gt;0,"قيد التنفيذ","لم يبدأ")))))</f>
        <v>جاهز (أصلي)</v>
      </c>
      <c r="R32" s="4"/>
    </row>
    <row r="33" customFormat="false" ht="23.25" hidden="false" customHeight="true" outlineLevel="0" collapsed="false">
      <c r="A33" s="17" t="s">
        <v>343</v>
      </c>
      <c r="B33" s="5" t="s">
        <v>1155</v>
      </c>
      <c r="C33" s="5" t="s">
        <v>1156</v>
      </c>
      <c r="D33" s="5" t="s">
        <v>1115</v>
      </c>
      <c r="E33" s="5" t="s">
        <v>1076</v>
      </c>
      <c r="F33" s="5" t="s">
        <v>1077</v>
      </c>
      <c r="G33" s="5" t="s">
        <v>1054</v>
      </c>
      <c r="H33" s="5" t="s">
        <v>1157</v>
      </c>
      <c r="I33" s="5" t="s">
        <v>103</v>
      </c>
      <c r="J33" s="5" t="s">
        <v>222</v>
      </c>
      <c r="K33" s="19" t="n">
        <f aca="false">COUNTIF(Tasks!$D$5:$D$300,A33)</f>
        <v>5</v>
      </c>
      <c r="L33" s="19" t="n">
        <f aca="false">COUNTIFS(Tasks!$D$5:$D$300,A33,Tasks!$M$5:$M$300,"مكتمل")</f>
        <v>0</v>
      </c>
      <c r="M33" s="19" t="n">
        <f aca="false">COUNTIFS(Tasks!$D$5:$D$300,A33,Tasks!$M$5:$M$300,"قيد التنفيذ")+COUNTIFS(Tasks!$D$5:$D$300,A33,Tasks!$M$5:$M$300,"قيد المراجعة")</f>
        <v>5</v>
      </c>
      <c r="N33" s="19" t="n">
        <f aca="false">COUNTIF(UAT!$B$5:$B$300,A33)</f>
        <v>3</v>
      </c>
      <c r="O33" s="19" t="n">
        <f aca="false">COUNTIFS(UAT!$B$5:$B$300,A33,UAT!$H$5:$H$300,"نجح")</f>
        <v>0</v>
      </c>
      <c r="P33" s="19" t="n">
        <f aca="false">COUNTIFS(UAT!$B$5:$B$300,A33,UAT!$H$5:$H$300,"فشل")</f>
        <v>0</v>
      </c>
      <c r="Q33" s="25" t="str">
        <f aca="false">IF(G33="جاهز","جاهز (أصلي)",IF(K33=0,"—",IF(AND(L33=K33,N33&gt;0,O33=N33),"جاهز",IF(L33=K33,"مكتمل – بانتظار UAT",IF(L33+M33&gt;0,"قيد التنفيذ","لم يبدأ")))))</f>
        <v>قيد التنفيذ</v>
      </c>
      <c r="R33" s="4"/>
    </row>
    <row r="34" customFormat="false" ht="23.25" hidden="false" customHeight="true" outlineLevel="0" collapsed="false">
      <c r="A34" s="17" t="s">
        <v>346</v>
      </c>
      <c r="B34" s="5" t="s">
        <v>1158</v>
      </c>
      <c r="C34" s="5" t="s">
        <v>1159</v>
      </c>
      <c r="D34" s="5" t="s">
        <v>1115</v>
      </c>
      <c r="E34" s="5" t="s">
        <v>1076</v>
      </c>
      <c r="F34" s="5" t="s">
        <v>1077</v>
      </c>
      <c r="G34" s="5" t="s">
        <v>1054</v>
      </c>
      <c r="H34" s="5" t="s">
        <v>1160</v>
      </c>
      <c r="I34" s="5" t="s">
        <v>103</v>
      </c>
      <c r="J34" s="5" t="s">
        <v>1161</v>
      </c>
      <c r="K34" s="19" t="n">
        <f aca="false">COUNTIF(Tasks!$D$5:$D$300,A34)</f>
        <v>5</v>
      </c>
      <c r="L34" s="19" t="n">
        <f aca="false">COUNTIFS(Tasks!$D$5:$D$300,A34,Tasks!$M$5:$M$300,"مكتمل")</f>
        <v>0</v>
      </c>
      <c r="M34" s="19" t="n">
        <f aca="false">COUNTIFS(Tasks!$D$5:$D$300,A34,Tasks!$M$5:$M$300,"قيد التنفيذ")+COUNTIFS(Tasks!$D$5:$D$300,A34,Tasks!$M$5:$M$300,"قيد المراجعة")</f>
        <v>5</v>
      </c>
      <c r="N34" s="19" t="n">
        <f aca="false">COUNTIF(UAT!$B$5:$B$300,A34)</f>
        <v>4</v>
      </c>
      <c r="O34" s="19" t="n">
        <f aca="false">COUNTIFS(UAT!$B$5:$B$300,A34,UAT!$H$5:$H$300,"نجح")</f>
        <v>0</v>
      </c>
      <c r="P34" s="19" t="n">
        <f aca="false">COUNTIFS(UAT!$B$5:$B$300,A34,UAT!$H$5:$H$300,"فشل")</f>
        <v>0</v>
      </c>
      <c r="Q34" s="25" t="str">
        <f aca="false">IF(G34="جاهز","جاهز (أصلي)",IF(K34=0,"—",IF(AND(L34=K34,N34&gt;0,O34=N34),"جاهز",IF(L34=K34,"مكتمل – بانتظار UAT",IF(L34+M34&gt;0,"قيد التنفيذ","لم يبدأ")))))</f>
        <v>قيد التنفيذ</v>
      </c>
      <c r="R34" s="4"/>
    </row>
    <row r="35" customFormat="false" ht="23.25" hidden="false" customHeight="true" outlineLevel="0" collapsed="false">
      <c r="A35" s="17" t="s">
        <v>503</v>
      </c>
      <c r="B35" s="5" t="s">
        <v>1162</v>
      </c>
      <c r="C35" s="5" t="s">
        <v>1163</v>
      </c>
      <c r="D35" s="5" t="s">
        <v>1051</v>
      </c>
      <c r="E35" s="5" t="s">
        <v>1052</v>
      </c>
      <c r="F35" s="5" t="s">
        <v>1053</v>
      </c>
      <c r="G35" s="5" t="s">
        <v>1164</v>
      </c>
      <c r="H35" s="5" t="s">
        <v>1165</v>
      </c>
      <c r="I35" s="5" t="s">
        <v>1166</v>
      </c>
      <c r="J35" s="5" t="s">
        <v>206</v>
      </c>
      <c r="K35" s="19" t="n">
        <f aca="false">COUNTIF(Tasks!$D$5:$D$300,A35)</f>
        <v>7</v>
      </c>
      <c r="L35" s="19" t="n">
        <f aca="false">COUNTIFS(Tasks!$D$5:$D$300,A35,Tasks!$M$5:$M$300,"مكتمل")</f>
        <v>0</v>
      </c>
      <c r="M35" s="19" t="n">
        <f aca="false">COUNTIFS(Tasks!$D$5:$D$300,A35,Tasks!$M$5:$M$300,"قيد التنفيذ")+COUNTIFS(Tasks!$D$5:$D$300,A35,Tasks!$M$5:$M$300,"قيد المراجعة")</f>
        <v>6</v>
      </c>
      <c r="N35" s="19" t="n">
        <f aca="false">COUNTIF(UAT!$B$5:$B$300,A35)</f>
        <v>3</v>
      </c>
      <c r="O35" s="19" t="n">
        <f aca="false">COUNTIFS(UAT!$B$5:$B$300,A35,UAT!$H$5:$H$300,"نجح")</f>
        <v>0</v>
      </c>
      <c r="P35" s="19" t="n">
        <f aca="false">COUNTIFS(UAT!$B$5:$B$300,A35,UAT!$H$5:$H$300,"فشل")</f>
        <v>0</v>
      </c>
      <c r="Q35" s="25" t="str">
        <f aca="false">IF(G35="جاهز","جاهز (أصلي)",IF(K35=0,"—",IF(AND(L35=K35,N35&gt;0,O35=N35),"جاهز",IF(L35=K35,"مكتمل – بانتظار UAT",IF(L35+M35&gt;0,"قيد التنفيذ","لم يبدأ")))))</f>
        <v>قيد التنفيذ</v>
      </c>
      <c r="R35" s="4"/>
    </row>
    <row r="36" customFormat="false" ht="15" hidden="false" customHeight="true" outlineLevel="0" collapsed="false">
      <c r="A36" s="17" t="s">
        <v>528</v>
      </c>
      <c r="B36" s="5" t="s">
        <v>1167</v>
      </c>
      <c r="C36" s="5" t="s">
        <v>1168</v>
      </c>
      <c r="D36" s="5" t="s">
        <v>1051</v>
      </c>
      <c r="E36" s="5" t="s">
        <v>1052</v>
      </c>
      <c r="F36" s="5" t="s">
        <v>1053</v>
      </c>
      <c r="G36" s="5" t="s">
        <v>1164</v>
      </c>
      <c r="H36" s="5" t="s">
        <v>1169</v>
      </c>
      <c r="I36" s="5" t="s">
        <v>1166</v>
      </c>
      <c r="J36" s="5" t="s">
        <v>206</v>
      </c>
      <c r="K36" s="19" t="n">
        <f aca="false">COUNTIF(Tasks!$D$5:$D$300,A36)</f>
        <v>1</v>
      </c>
      <c r="L36" s="19" t="n">
        <f aca="false">COUNTIFS(Tasks!$D$5:$D$300,A36,Tasks!$M$5:$M$300,"مكتمل")</f>
        <v>0</v>
      </c>
      <c r="M36" s="19" t="n">
        <f aca="false">COUNTIFS(Tasks!$D$5:$D$300,A36,Tasks!$M$5:$M$300,"قيد التنفيذ")+COUNTIFS(Tasks!$D$5:$D$300,A36,Tasks!$M$5:$M$300,"قيد المراجعة")</f>
        <v>1</v>
      </c>
      <c r="N36" s="19" t="n">
        <f aca="false">COUNTIF(UAT!$B$5:$B$300,A36)</f>
        <v>1</v>
      </c>
      <c r="O36" s="19" t="n">
        <f aca="false">COUNTIFS(UAT!$B$5:$B$300,A36,UAT!$H$5:$H$300,"نجح")</f>
        <v>0</v>
      </c>
      <c r="P36" s="19" t="n">
        <f aca="false">COUNTIFS(UAT!$B$5:$B$300,A36,UAT!$H$5:$H$300,"فشل")</f>
        <v>0</v>
      </c>
      <c r="Q36" s="25" t="str">
        <f aca="false">IF(G36="جاهز","جاهز (أصلي)",IF(K36=0,"—",IF(AND(L36=K36,N36&gt;0,O36=N36),"جاهز",IF(L36=K36,"مكتمل – بانتظار UAT",IF(L36+M36&gt;0,"قيد التنفيذ","لم يبدأ")))))</f>
        <v>قيد التنفيذ</v>
      </c>
      <c r="R36" s="4"/>
    </row>
    <row r="37" customFormat="false" ht="15" hidden="false" customHeight="true" outlineLevel="0" collapsed="false">
      <c r="A37" s="17" t="s">
        <v>620</v>
      </c>
      <c r="B37" s="5" t="s">
        <v>1170</v>
      </c>
      <c r="C37" s="5" t="s">
        <v>1171</v>
      </c>
      <c r="D37" s="5" t="s">
        <v>1051</v>
      </c>
      <c r="E37" s="5" t="s">
        <v>1052</v>
      </c>
      <c r="F37" s="5" t="s">
        <v>1053</v>
      </c>
      <c r="G37" s="5" t="s">
        <v>1164</v>
      </c>
      <c r="H37" s="5" t="s">
        <v>1172</v>
      </c>
      <c r="I37" s="5" t="s">
        <v>1166</v>
      </c>
      <c r="J37" s="5" t="s">
        <v>216</v>
      </c>
      <c r="K37" s="19" t="n">
        <f aca="false">COUNTIF(Tasks!$D$5:$D$300,A37)</f>
        <v>1</v>
      </c>
      <c r="L37" s="19" t="n">
        <f aca="false">COUNTIFS(Tasks!$D$5:$D$300,A37,Tasks!$M$5:$M$300,"مكتمل")</f>
        <v>0</v>
      </c>
      <c r="M37" s="19" t="n">
        <f aca="false">COUNTIFS(Tasks!$D$5:$D$300,A37,Tasks!$M$5:$M$300,"قيد التنفيذ")+COUNTIFS(Tasks!$D$5:$D$300,A37,Tasks!$M$5:$M$300,"قيد المراجعة")</f>
        <v>1</v>
      </c>
      <c r="N37" s="19" t="n">
        <f aca="false">COUNTIF(UAT!$B$5:$B$300,A37)</f>
        <v>1</v>
      </c>
      <c r="O37" s="19" t="n">
        <f aca="false">COUNTIFS(UAT!$B$5:$B$300,A37,UAT!$H$5:$H$300,"نجح")</f>
        <v>0</v>
      </c>
      <c r="P37" s="19" t="n">
        <f aca="false">COUNTIFS(UAT!$B$5:$B$300,A37,UAT!$H$5:$H$300,"فشل")</f>
        <v>0</v>
      </c>
      <c r="Q37" s="25" t="str">
        <f aca="false">IF(G37="جاهز","جاهز (أصلي)",IF(K37=0,"—",IF(AND(L37=K37,N37&gt;0,O37=N37),"جاهز",IF(L37=K37,"مكتمل – بانتظار UAT",IF(L37+M37&gt;0,"قيد التنفيذ","لم يبدأ")))))</f>
        <v>قيد التنفيذ</v>
      </c>
      <c r="R37" s="4"/>
    </row>
    <row r="38" customFormat="false" ht="15" hidden="false" customHeight="true" outlineLevel="0" collapsed="false">
      <c r="A38" s="17" t="s">
        <v>595</v>
      </c>
      <c r="B38" s="5" t="s">
        <v>1173</v>
      </c>
      <c r="C38" s="5" t="s">
        <v>1174</v>
      </c>
      <c r="D38" s="5" t="s">
        <v>1051</v>
      </c>
      <c r="E38" s="5" t="s">
        <v>1052</v>
      </c>
      <c r="F38" s="5" t="s">
        <v>1053</v>
      </c>
      <c r="G38" s="5" t="s">
        <v>1164</v>
      </c>
      <c r="H38" s="5" t="s">
        <v>1175</v>
      </c>
      <c r="I38" s="5" t="s">
        <v>1166</v>
      </c>
      <c r="J38" s="5" t="s">
        <v>216</v>
      </c>
      <c r="K38" s="19" t="n">
        <f aca="false">COUNTIF(Tasks!$D$5:$D$300,A38)</f>
        <v>1</v>
      </c>
      <c r="L38" s="19" t="n">
        <f aca="false">COUNTIFS(Tasks!$D$5:$D$300,A38,Tasks!$M$5:$M$300,"مكتمل")</f>
        <v>0</v>
      </c>
      <c r="M38" s="19" t="n">
        <f aca="false">COUNTIFS(Tasks!$D$5:$D$300,A38,Tasks!$M$5:$M$300,"قيد التنفيذ")+COUNTIFS(Tasks!$D$5:$D$300,A38,Tasks!$M$5:$M$300,"قيد المراجعة")</f>
        <v>1</v>
      </c>
      <c r="N38" s="19" t="n">
        <f aca="false">COUNTIF(UAT!$B$5:$B$300,A38)</f>
        <v>2</v>
      </c>
      <c r="O38" s="19" t="n">
        <f aca="false">COUNTIFS(UAT!$B$5:$B$300,A38,UAT!$H$5:$H$300,"نجح")</f>
        <v>0</v>
      </c>
      <c r="P38" s="19" t="n">
        <f aca="false">COUNTIFS(UAT!$B$5:$B$300,A38,UAT!$H$5:$H$300,"فشل")</f>
        <v>0</v>
      </c>
      <c r="Q38" s="25" t="str">
        <f aca="false">IF(G38="جاهز","جاهز (أصلي)",IF(K38=0,"—",IF(AND(L38=K38,N38&gt;0,O38=N38),"جاهز",IF(L38=K38,"مكتمل – بانتظار UAT",IF(L38+M38&gt;0,"قيد التنفيذ","لم يبدأ")))))</f>
        <v>قيد التنفيذ</v>
      </c>
      <c r="R38" s="4"/>
    </row>
    <row r="39" customFormat="false" ht="15" hidden="false" customHeight="true" outlineLevel="0" collapsed="false">
      <c r="A39" s="17" t="s">
        <v>613</v>
      </c>
      <c r="B39" s="5" t="s">
        <v>1176</v>
      </c>
      <c r="C39" s="5" t="s">
        <v>614</v>
      </c>
      <c r="D39" s="5" t="s">
        <v>1051</v>
      </c>
      <c r="E39" s="5" t="s">
        <v>1052</v>
      </c>
      <c r="F39" s="5" t="s">
        <v>1053</v>
      </c>
      <c r="G39" s="5" t="s">
        <v>1164</v>
      </c>
      <c r="H39" s="5" t="s">
        <v>1177</v>
      </c>
      <c r="I39" s="5" t="s">
        <v>1166</v>
      </c>
      <c r="J39" s="5" t="s">
        <v>216</v>
      </c>
      <c r="K39" s="19" t="n">
        <f aca="false">COUNTIF(Tasks!$D$5:$D$300,A39)</f>
        <v>1</v>
      </c>
      <c r="L39" s="19" t="n">
        <f aca="false">COUNTIFS(Tasks!$D$5:$D$300,A39,Tasks!$M$5:$M$300,"مكتمل")</f>
        <v>0</v>
      </c>
      <c r="M39" s="19" t="n">
        <f aca="false">COUNTIFS(Tasks!$D$5:$D$300,A39,Tasks!$M$5:$M$300,"قيد التنفيذ")+COUNTIFS(Tasks!$D$5:$D$300,A39,Tasks!$M$5:$M$300,"قيد المراجعة")</f>
        <v>1</v>
      </c>
      <c r="N39" s="19" t="n">
        <f aca="false">COUNTIF(UAT!$B$5:$B$300,A39)</f>
        <v>1</v>
      </c>
      <c r="O39" s="19" t="n">
        <f aca="false">COUNTIFS(UAT!$B$5:$B$300,A39,UAT!$H$5:$H$300,"نجح")</f>
        <v>0</v>
      </c>
      <c r="P39" s="19" t="n">
        <f aca="false">COUNTIFS(UAT!$B$5:$B$300,A39,UAT!$H$5:$H$300,"فشل")</f>
        <v>0</v>
      </c>
      <c r="Q39" s="25" t="str">
        <f aca="false">IF(G39="جاهز","جاهز (أصلي)",IF(K39=0,"—",IF(AND(L39=K39,N39&gt;0,O39=N39),"جاهز",IF(L39=K39,"مكتمل – بانتظار UAT",IF(L39+M39&gt;0,"قيد التنفيذ","لم يبدأ")))))</f>
        <v>قيد التنفيذ</v>
      </c>
      <c r="R39" s="4"/>
    </row>
    <row r="40" customFormat="false" ht="15" hidden="false" customHeight="true" outlineLevel="0" collapsed="false">
      <c r="A40" s="17" t="s">
        <v>626</v>
      </c>
      <c r="B40" s="5" t="s">
        <v>1178</v>
      </c>
      <c r="C40" s="5" t="s">
        <v>1179</v>
      </c>
      <c r="D40" s="5" t="s">
        <v>1051</v>
      </c>
      <c r="E40" s="5" t="s">
        <v>1052</v>
      </c>
      <c r="F40" s="5" t="s">
        <v>1053</v>
      </c>
      <c r="G40" s="5" t="s">
        <v>1164</v>
      </c>
      <c r="H40" s="5" t="s">
        <v>1177</v>
      </c>
      <c r="I40" s="5" t="s">
        <v>1166</v>
      </c>
      <c r="J40" s="5" t="s">
        <v>216</v>
      </c>
      <c r="K40" s="19" t="n">
        <f aca="false">COUNTIF(Tasks!$D$5:$D$300,A40)</f>
        <v>1</v>
      </c>
      <c r="L40" s="19" t="n">
        <f aca="false">COUNTIFS(Tasks!$D$5:$D$300,A40,Tasks!$M$5:$M$300,"مكتمل")</f>
        <v>0</v>
      </c>
      <c r="M40" s="19" t="n">
        <f aca="false">COUNTIFS(Tasks!$D$5:$D$300,A40,Tasks!$M$5:$M$300,"قيد التنفيذ")+COUNTIFS(Tasks!$D$5:$D$300,A40,Tasks!$M$5:$M$300,"قيد المراجعة")</f>
        <v>1</v>
      </c>
      <c r="N40" s="19" t="n">
        <f aca="false">COUNTIF(UAT!$B$5:$B$300,A40)</f>
        <v>1</v>
      </c>
      <c r="O40" s="19" t="n">
        <f aca="false">COUNTIFS(UAT!$B$5:$B$300,A40,UAT!$H$5:$H$300,"نجح")</f>
        <v>0</v>
      </c>
      <c r="P40" s="19" t="n">
        <f aca="false">COUNTIFS(UAT!$B$5:$B$300,A40,UAT!$H$5:$H$300,"فشل")</f>
        <v>0</v>
      </c>
      <c r="Q40" s="25" t="str">
        <f aca="false">IF(G40="جاهز","جاهز (أصلي)",IF(K40=0,"—",IF(AND(L40=K40,N40&gt;0,O40=N40),"جاهز",IF(L40=K40,"مكتمل – بانتظار UAT",IF(L40+M40&gt;0,"قيد التنفيذ","لم يبدأ")))))</f>
        <v>قيد التنفيذ</v>
      </c>
      <c r="R40" s="4"/>
    </row>
    <row r="41" customFormat="false" ht="15" hidden="false" customHeight="true" outlineLevel="0" collapsed="false">
      <c r="A41" s="17" t="s">
        <v>639</v>
      </c>
      <c r="B41" s="5" t="s">
        <v>1180</v>
      </c>
      <c r="C41" s="5" t="s">
        <v>1181</v>
      </c>
      <c r="D41" s="5" t="s">
        <v>1070</v>
      </c>
      <c r="E41" s="5" t="s">
        <v>1052</v>
      </c>
      <c r="F41" s="5" t="s">
        <v>1053</v>
      </c>
      <c r="G41" s="5" t="s">
        <v>1164</v>
      </c>
      <c r="H41" s="5" t="s">
        <v>1182</v>
      </c>
      <c r="I41" s="5" t="s">
        <v>1166</v>
      </c>
      <c r="J41" s="5" t="s">
        <v>218</v>
      </c>
      <c r="K41" s="19" t="n">
        <f aca="false">COUNTIF(Tasks!$D$5:$D$300,A41)</f>
        <v>4</v>
      </c>
      <c r="L41" s="19" t="n">
        <f aca="false">COUNTIFS(Tasks!$D$5:$D$300,A41,Tasks!$M$5:$M$300,"مكتمل")</f>
        <v>0</v>
      </c>
      <c r="M41" s="19" t="n">
        <f aca="false">COUNTIFS(Tasks!$D$5:$D$300,A41,Tasks!$M$5:$M$300,"قيد التنفيذ")+COUNTIFS(Tasks!$D$5:$D$300,A41,Tasks!$M$5:$M$300,"قيد المراجعة")</f>
        <v>4</v>
      </c>
      <c r="N41" s="19" t="n">
        <f aca="false">COUNTIF(UAT!$B$5:$B$300,A41)</f>
        <v>2</v>
      </c>
      <c r="O41" s="19" t="n">
        <f aca="false">COUNTIFS(UAT!$B$5:$B$300,A41,UAT!$H$5:$H$300,"نجح")</f>
        <v>0</v>
      </c>
      <c r="P41" s="19" t="n">
        <f aca="false">COUNTIFS(UAT!$B$5:$B$300,A41,UAT!$H$5:$H$300,"فشل")</f>
        <v>0</v>
      </c>
      <c r="Q41" s="25" t="str">
        <f aca="false">IF(G41="جاهز","جاهز (أصلي)",IF(K41=0,"—",IF(AND(L41=K41,N41&gt;0,O41=N41),"جاهز",IF(L41=K41,"مكتمل – بانتظار UAT",IF(L41+M41&gt;0,"قيد التنفيذ","لم يبدأ")))))</f>
        <v>قيد التنفيذ</v>
      </c>
      <c r="R41" s="4"/>
    </row>
  </sheetData>
  <autoFilter ref="A4:R41"/>
  <conditionalFormatting sqref="Q5:Q41">
    <cfRule type="expression" priority="2" aboveAverage="0" equalAverage="0" bottom="0" percent="0" rank="0" text="" dxfId="1">
      <formula>LEFT(Q5,4)="جاهز"</formula>
    </cfRule>
    <cfRule type="cellIs" priority="3" operator="equal" aboveAverage="0" equalAverage="0" bottom="0" percent="0" rank="0" text="" dxfId="2">
      <formula>"قيد التنفيذ"</formula>
    </cfRule>
    <cfRule type="expression" priority="4" aboveAverage="0" equalAverage="0" bottom="0" percent="0" rank="0" text="" dxfId="3">
      <formula>LEFT(Q5,5)="مكتمل"</formula>
    </cfRule>
  </conditionalFormatting>
  <conditionalFormatting sqref="G5:G41">
    <cfRule type="cellIs" priority="5" operator="equal" aboveAverage="0" equalAverage="0" bottom="0" percent="0" rank="0" text="" dxfId="0">
      <formula>"غير جاهز"</formula>
    </cfRule>
    <cfRule type="cellIs" priority="6" operator="equal" aboveAverage="0" equalAverage="0" bottom="0" percent="0" rank="0" text="" dxfId="2">
      <formula>"جزئي"</formula>
    </cfRule>
    <cfRule type="cellIs" priority="7" operator="equal" aboveAverage="0" equalAverage="0" bottom="0" percent="0" rank="0" text="" dxfId="1">
      <formula>"جاهز"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6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9"/>
    <col collapsed="false" customWidth="true" hidden="false" outlineLevel="0" max="4" min="4" style="1" width="60"/>
    <col collapsed="false" customWidth="true" hidden="false" outlineLevel="0" max="5" min="5" style="1" width="4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1"/>
    <col collapsed="false" customWidth="true" hidden="false" outlineLevel="0" max="11" min="11" style="1" width="30"/>
  </cols>
  <sheetData>
    <row r="1" customFormat="false" ht="18" hidden="false" customHeight="true" outlineLevel="0" collapsed="false">
      <c r="A1" s="2" t="s">
        <v>1183</v>
      </c>
    </row>
    <row r="2" customFormat="false" ht="15" hidden="false" customHeight="true" outlineLevel="0" collapsed="false">
      <c r="A2" s="7" t="s">
        <v>1184</v>
      </c>
    </row>
    <row r="4" customFormat="false" ht="31.5" hidden="false" customHeight="true" outlineLevel="0" collapsed="false">
      <c r="A4" s="16" t="s">
        <v>965</v>
      </c>
      <c r="B4" s="16" t="s">
        <v>1035</v>
      </c>
      <c r="C4" s="16" t="s">
        <v>77</v>
      </c>
      <c r="D4" s="16" t="s">
        <v>1185</v>
      </c>
      <c r="E4" s="16" t="s">
        <v>1186</v>
      </c>
      <c r="F4" s="16" t="s">
        <v>67</v>
      </c>
      <c r="G4" s="16" t="s">
        <v>1187</v>
      </c>
      <c r="H4" s="16" t="s">
        <v>1188</v>
      </c>
      <c r="I4" s="16" t="s">
        <v>1189</v>
      </c>
      <c r="J4" s="16" t="s">
        <v>1190</v>
      </c>
      <c r="K4" s="16" t="s">
        <v>1191</v>
      </c>
    </row>
    <row r="5" customFormat="false" ht="23.25" hidden="false" customHeight="true" outlineLevel="0" collapsed="false">
      <c r="A5" s="17" t="s">
        <v>1192</v>
      </c>
      <c r="B5" s="5" t="s">
        <v>552</v>
      </c>
      <c r="C5" s="5" t="s">
        <v>1193</v>
      </c>
      <c r="D5" s="5" t="s">
        <v>1194</v>
      </c>
      <c r="E5" s="5" t="s">
        <v>1195</v>
      </c>
      <c r="F5" s="5" t="s">
        <v>212</v>
      </c>
      <c r="G5" s="5" t="s">
        <v>1052</v>
      </c>
      <c r="H5" s="4" t="s">
        <v>55</v>
      </c>
      <c r="I5" s="4"/>
      <c r="J5" s="18"/>
      <c r="K5" s="4"/>
    </row>
    <row r="6" customFormat="false" ht="15" hidden="false" customHeight="true" outlineLevel="0" collapsed="false">
      <c r="A6" s="17" t="s">
        <v>1196</v>
      </c>
      <c r="B6" s="5" t="s">
        <v>552</v>
      </c>
      <c r="C6" s="5" t="s">
        <v>1197</v>
      </c>
      <c r="D6" s="5" t="s">
        <v>1198</v>
      </c>
      <c r="E6" s="5" t="s">
        <v>1199</v>
      </c>
      <c r="F6" s="5" t="s">
        <v>212</v>
      </c>
      <c r="G6" s="5" t="s">
        <v>1052</v>
      </c>
      <c r="H6" s="4" t="s">
        <v>55</v>
      </c>
      <c r="I6" s="4"/>
      <c r="J6" s="18"/>
      <c r="K6" s="4"/>
    </row>
    <row r="7" customFormat="false" ht="15" hidden="false" customHeight="true" outlineLevel="0" collapsed="false">
      <c r="A7" s="17" t="s">
        <v>1200</v>
      </c>
      <c r="B7" s="5" t="s">
        <v>552</v>
      </c>
      <c r="C7" s="5" t="s">
        <v>1201</v>
      </c>
      <c r="D7" s="5" t="s">
        <v>1202</v>
      </c>
      <c r="E7" s="5" t="s">
        <v>1203</v>
      </c>
      <c r="F7" s="5" t="s">
        <v>212</v>
      </c>
      <c r="G7" s="5" t="s">
        <v>1052</v>
      </c>
      <c r="H7" s="4" t="s">
        <v>55</v>
      </c>
      <c r="I7" s="4"/>
      <c r="J7" s="18"/>
      <c r="K7" s="4"/>
    </row>
    <row r="8" customFormat="false" ht="15" hidden="false" customHeight="true" outlineLevel="0" collapsed="false">
      <c r="A8" s="17" t="s">
        <v>1204</v>
      </c>
      <c r="B8" s="5" t="s">
        <v>559</v>
      </c>
      <c r="C8" s="5" t="s">
        <v>1193</v>
      </c>
      <c r="D8" s="5" t="s">
        <v>1205</v>
      </c>
      <c r="E8" s="5" t="s">
        <v>1206</v>
      </c>
      <c r="F8" s="5" t="s">
        <v>212</v>
      </c>
      <c r="G8" s="5" t="s">
        <v>1052</v>
      </c>
      <c r="H8" s="4" t="s">
        <v>55</v>
      </c>
      <c r="I8" s="4"/>
      <c r="J8" s="18"/>
      <c r="K8" s="4"/>
    </row>
    <row r="9" customFormat="false" ht="15" hidden="false" customHeight="true" outlineLevel="0" collapsed="false">
      <c r="A9" s="17" t="s">
        <v>1207</v>
      </c>
      <c r="B9" s="5" t="s">
        <v>559</v>
      </c>
      <c r="C9" s="5" t="s">
        <v>1197</v>
      </c>
      <c r="D9" s="5" t="s">
        <v>1208</v>
      </c>
      <c r="E9" s="5" t="s">
        <v>1209</v>
      </c>
      <c r="F9" s="5" t="s">
        <v>212</v>
      </c>
      <c r="G9" s="5" t="s">
        <v>1052</v>
      </c>
      <c r="H9" s="4" t="s">
        <v>55</v>
      </c>
      <c r="I9" s="4"/>
      <c r="J9" s="18"/>
      <c r="K9" s="4"/>
    </row>
    <row r="10" customFormat="false" ht="15" hidden="false" customHeight="true" outlineLevel="0" collapsed="false">
      <c r="A10" s="17" t="s">
        <v>1210</v>
      </c>
      <c r="B10" s="5" t="s">
        <v>331</v>
      </c>
      <c r="C10" s="5" t="s">
        <v>1193</v>
      </c>
      <c r="D10" s="5" t="s">
        <v>1211</v>
      </c>
      <c r="E10" s="5" t="s">
        <v>1212</v>
      </c>
      <c r="F10" s="5" t="s">
        <v>214</v>
      </c>
      <c r="G10" s="5" t="s">
        <v>1052</v>
      </c>
      <c r="H10" s="4" t="s">
        <v>55</v>
      </c>
      <c r="I10" s="4"/>
      <c r="J10" s="18"/>
      <c r="K10" s="4"/>
    </row>
    <row r="11" customFormat="false" ht="15" hidden="false" customHeight="true" outlineLevel="0" collapsed="false">
      <c r="A11" s="17" t="s">
        <v>1213</v>
      </c>
      <c r="B11" s="5" t="s">
        <v>331</v>
      </c>
      <c r="C11" s="5" t="s">
        <v>1201</v>
      </c>
      <c r="D11" s="5" t="s">
        <v>1214</v>
      </c>
      <c r="E11" s="5" t="s">
        <v>1215</v>
      </c>
      <c r="F11" s="5" t="s">
        <v>214</v>
      </c>
      <c r="G11" s="5" t="s">
        <v>1052</v>
      </c>
      <c r="H11" s="4" t="s">
        <v>55</v>
      </c>
      <c r="I11" s="4"/>
      <c r="J11" s="18"/>
      <c r="K11" s="4"/>
    </row>
    <row r="12" customFormat="false" ht="15" hidden="false" customHeight="true" outlineLevel="0" collapsed="false">
      <c r="A12" s="17" t="s">
        <v>1216</v>
      </c>
      <c r="B12" s="5" t="s">
        <v>331</v>
      </c>
      <c r="C12" s="5" t="s">
        <v>1197</v>
      </c>
      <c r="D12" s="5" t="s">
        <v>1217</v>
      </c>
      <c r="E12" s="5" t="s">
        <v>1218</v>
      </c>
      <c r="F12" s="5" t="s">
        <v>214</v>
      </c>
      <c r="G12" s="5" t="s">
        <v>1052</v>
      </c>
      <c r="H12" s="4" t="s">
        <v>55</v>
      </c>
      <c r="I12" s="4"/>
      <c r="J12" s="18"/>
      <c r="K12" s="4"/>
    </row>
    <row r="13" customFormat="false" ht="15" hidden="false" customHeight="true" outlineLevel="0" collapsed="false">
      <c r="A13" s="17" t="s">
        <v>1219</v>
      </c>
      <c r="B13" s="5" t="s">
        <v>603</v>
      </c>
      <c r="C13" s="5" t="s">
        <v>1193</v>
      </c>
      <c r="D13" s="5" t="s">
        <v>1220</v>
      </c>
      <c r="E13" s="5" t="s">
        <v>1221</v>
      </c>
      <c r="F13" s="5" t="s">
        <v>216</v>
      </c>
      <c r="G13" s="5" t="s">
        <v>1052</v>
      </c>
      <c r="H13" s="4" t="s">
        <v>55</v>
      </c>
      <c r="I13" s="4"/>
      <c r="J13" s="18"/>
      <c r="K13" s="4"/>
    </row>
    <row r="14" customFormat="false" ht="15" hidden="false" customHeight="true" outlineLevel="0" collapsed="false">
      <c r="A14" s="17" t="s">
        <v>1222</v>
      </c>
      <c r="B14" s="5" t="s">
        <v>603</v>
      </c>
      <c r="C14" s="5" t="s">
        <v>1197</v>
      </c>
      <c r="D14" s="5" t="s">
        <v>1223</v>
      </c>
      <c r="E14" s="5" t="s">
        <v>1224</v>
      </c>
      <c r="F14" s="5" t="s">
        <v>216</v>
      </c>
      <c r="G14" s="5" t="s">
        <v>1052</v>
      </c>
      <c r="H14" s="4" t="s">
        <v>55</v>
      </c>
      <c r="I14" s="4"/>
      <c r="J14" s="18"/>
      <c r="K14" s="4"/>
    </row>
    <row r="15" customFormat="false" ht="15" hidden="false" customHeight="true" outlineLevel="0" collapsed="false">
      <c r="A15" s="17" t="s">
        <v>1225</v>
      </c>
      <c r="B15" s="5" t="s">
        <v>603</v>
      </c>
      <c r="C15" s="5" t="s">
        <v>1201</v>
      </c>
      <c r="D15" s="5" t="s">
        <v>1226</v>
      </c>
      <c r="E15" s="5" t="s">
        <v>1227</v>
      </c>
      <c r="F15" s="5" t="s">
        <v>216</v>
      </c>
      <c r="G15" s="5" t="s">
        <v>1052</v>
      </c>
      <c r="H15" s="4" t="s">
        <v>55</v>
      </c>
      <c r="I15" s="4"/>
      <c r="J15" s="18"/>
      <c r="K15" s="4"/>
    </row>
    <row r="16" customFormat="false" ht="15" hidden="false" customHeight="true" outlineLevel="0" collapsed="false">
      <c r="A16" s="17" t="s">
        <v>1228</v>
      </c>
      <c r="B16" s="5" t="s">
        <v>609</v>
      </c>
      <c r="C16" s="5" t="s">
        <v>1193</v>
      </c>
      <c r="D16" s="5" t="s">
        <v>1229</v>
      </c>
      <c r="E16" s="5" t="s">
        <v>1230</v>
      </c>
      <c r="F16" s="5" t="s">
        <v>216</v>
      </c>
      <c r="G16" s="5" t="s">
        <v>1052</v>
      </c>
      <c r="H16" s="4" t="s">
        <v>55</v>
      </c>
      <c r="I16" s="4"/>
      <c r="J16" s="18"/>
      <c r="K16" s="4"/>
    </row>
    <row r="17" customFormat="false" ht="15" hidden="false" customHeight="true" outlineLevel="0" collapsed="false">
      <c r="A17" s="17" t="s">
        <v>1231</v>
      </c>
      <c r="B17" s="5" t="s">
        <v>609</v>
      </c>
      <c r="C17" s="5" t="s">
        <v>1197</v>
      </c>
      <c r="D17" s="5" t="s">
        <v>1232</v>
      </c>
      <c r="E17" s="5" t="s">
        <v>1233</v>
      </c>
      <c r="F17" s="5" t="s">
        <v>216</v>
      </c>
      <c r="G17" s="5" t="s">
        <v>1052</v>
      </c>
      <c r="H17" s="4" t="s">
        <v>55</v>
      </c>
      <c r="I17" s="4"/>
      <c r="J17" s="18"/>
      <c r="K17" s="4"/>
    </row>
    <row r="18" customFormat="false" ht="15" hidden="false" customHeight="true" outlineLevel="0" collapsed="false">
      <c r="A18" s="17" t="s">
        <v>1234</v>
      </c>
      <c r="B18" s="5" t="s">
        <v>647</v>
      </c>
      <c r="C18" s="5" t="s">
        <v>1193</v>
      </c>
      <c r="D18" s="5" t="s">
        <v>1235</v>
      </c>
      <c r="E18" s="5" t="s">
        <v>1236</v>
      </c>
      <c r="F18" s="5" t="s">
        <v>220</v>
      </c>
      <c r="G18" s="5" t="s">
        <v>1076</v>
      </c>
      <c r="H18" s="4" t="s">
        <v>55</v>
      </c>
      <c r="I18" s="4"/>
      <c r="J18" s="18"/>
      <c r="K18" s="4"/>
    </row>
    <row r="19" customFormat="false" ht="15" hidden="false" customHeight="true" outlineLevel="0" collapsed="false">
      <c r="A19" s="17" t="s">
        <v>1237</v>
      </c>
      <c r="B19" s="5" t="s">
        <v>647</v>
      </c>
      <c r="C19" s="5" t="s">
        <v>1193</v>
      </c>
      <c r="D19" s="5" t="s">
        <v>1238</v>
      </c>
      <c r="E19" s="5" t="s">
        <v>1239</v>
      </c>
      <c r="F19" s="5" t="s">
        <v>218</v>
      </c>
      <c r="G19" s="5" t="s">
        <v>1240</v>
      </c>
      <c r="H19" s="4" t="s">
        <v>55</v>
      </c>
      <c r="I19" s="4"/>
      <c r="J19" s="18"/>
      <c r="K19" s="4"/>
    </row>
    <row r="20" customFormat="false" ht="23.25" hidden="false" customHeight="true" outlineLevel="0" collapsed="false">
      <c r="A20" s="17" t="s">
        <v>1241</v>
      </c>
      <c r="B20" s="5" t="s">
        <v>647</v>
      </c>
      <c r="C20" s="5" t="s">
        <v>1201</v>
      </c>
      <c r="D20" s="5" t="s">
        <v>1242</v>
      </c>
      <c r="E20" s="5" t="s">
        <v>1243</v>
      </c>
      <c r="F20" s="5" t="s">
        <v>1073</v>
      </c>
      <c r="G20" s="5" t="s">
        <v>1076</v>
      </c>
      <c r="H20" s="4" t="s">
        <v>55</v>
      </c>
      <c r="I20" s="4"/>
      <c r="J20" s="18"/>
      <c r="K20" s="4"/>
    </row>
    <row r="21" customFormat="false" ht="15" hidden="false" customHeight="true" outlineLevel="0" collapsed="false">
      <c r="A21" s="17" t="s">
        <v>1244</v>
      </c>
      <c r="B21" s="5" t="s">
        <v>647</v>
      </c>
      <c r="C21" s="5" t="s">
        <v>1197</v>
      </c>
      <c r="D21" s="5" t="s">
        <v>1245</v>
      </c>
      <c r="E21" s="5" t="s">
        <v>1246</v>
      </c>
      <c r="F21" s="5" t="s">
        <v>218</v>
      </c>
      <c r="G21" s="5" t="s">
        <v>1052</v>
      </c>
      <c r="H21" s="4" t="s">
        <v>55</v>
      </c>
      <c r="I21" s="4"/>
      <c r="J21" s="18"/>
      <c r="K21" s="4"/>
    </row>
    <row r="22" customFormat="false" ht="15" hidden="false" customHeight="true" outlineLevel="0" collapsed="false">
      <c r="A22" s="17" t="s">
        <v>1247</v>
      </c>
      <c r="B22" s="5" t="s">
        <v>647</v>
      </c>
      <c r="C22" s="5" t="s">
        <v>1193</v>
      </c>
      <c r="D22" s="5" t="s">
        <v>1248</v>
      </c>
      <c r="E22" s="5" t="s">
        <v>1249</v>
      </c>
      <c r="F22" s="5" t="s">
        <v>220</v>
      </c>
      <c r="G22" s="5" t="s">
        <v>1250</v>
      </c>
      <c r="H22" s="4" t="s">
        <v>55</v>
      </c>
      <c r="I22" s="4"/>
      <c r="J22" s="18"/>
      <c r="K22" s="4"/>
    </row>
    <row r="23" customFormat="false" ht="15" hidden="false" customHeight="true" outlineLevel="0" collapsed="false">
      <c r="A23" s="17" t="s">
        <v>1251</v>
      </c>
      <c r="B23" s="5" t="s">
        <v>349</v>
      </c>
      <c r="C23" s="5" t="s">
        <v>1193</v>
      </c>
      <c r="D23" s="5" t="s">
        <v>1252</v>
      </c>
      <c r="E23" s="5" t="s">
        <v>1253</v>
      </c>
      <c r="F23" s="5" t="s">
        <v>226</v>
      </c>
      <c r="G23" s="5" t="s">
        <v>1076</v>
      </c>
      <c r="H23" s="4" t="s">
        <v>55</v>
      </c>
      <c r="I23" s="4"/>
      <c r="J23" s="18"/>
      <c r="K23" s="4"/>
    </row>
    <row r="24" customFormat="false" ht="15" hidden="false" customHeight="true" outlineLevel="0" collapsed="false">
      <c r="A24" s="17" t="s">
        <v>1254</v>
      </c>
      <c r="B24" s="5" t="s">
        <v>349</v>
      </c>
      <c r="C24" s="5" t="s">
        <v>1201</v>
      </c>
      <c r="D24" s="5" t="s">
        <v>1255</v>
      </c>
      <c r="E24" s="5" t="s">
        <v>1256</v>
      </c>
      <c r="F24" s="5" t="s">
        <v>226</v>
      </c>
      <c r="G24" s="5" t="s">
        <v>1076</v>
      </c>
      <c r="H24" s="4" t="s">
        <v>55</v>
      </c>
      <c r="I24" s="4"/>
      <c r="J24" s="18"/>
      <c r="K24" s="4"/>
    </row>
    <row r="25" customFormat="false" ht="15" hidden="false" customHeight="true" outlineLevel="0" collapsed="false">
      <c r="A25" s="17" t="s">
        <v>1257</v>
      </c>
      <c r="B25" s="5" t="s">
        <v>349</v>
      </c>
      <c r="C25" s="5" t="s">
        <v>1197</v>
      </c>
      <c r="D25" s="5" t="s">
        <v>1258</v>
      </c>
      <c r="E25" s="5" t="s">
        <v>1259</v>
      </c>
      <c r="F25" s="5" t="s">
        <v>226</v>
      </c>
      <c r="G25" s="5" t="s">
        <v>1076</v>
      </c>
      <c r="H25" s="4" t="s">
        <v>55</v>
      </c>
      <c r="I25" s="4"/>
      <c r="J25" s="18"/>
      <c r="K25" s="4"/>
    </row>
    <row r="26" customFormat="false" ht="15" hidden="false" customHeight="true" outlineLevel="0" collapsed="false">
      <c r="A26" s="17" t="s">
        <v>1260</v>
      </c>
      <c r="B26" s="5" t="s">
        <v>890</v>
      </c>
      <c r="C26" s="5" t="s">
        <v>1193</v>
      </c>
      <c r="D26" s="5" t="s">
        <v>1261</v>
      </c>
      <c r="E26" s="5" t="s">
        <v>1262</v>
      </c>
      <c r="F26" s="5" t="s">
        <v>238</v>
      </c>
      <c r="G26" s="5" t="s">
        <v>1091</v>
      </c>
      <c r="H26" s="4" t="s">
        <v>55</v>
      </c>
      <c r="I26" s="4"/>
      <c r="J26" s="18"/>
      <c r="K26" s="4"/>
    </row>
    <row r="27" customFormat="false" ht="15" hidden="false" customHeight="true" outlineLevel="0" collapsed="false">
      <c r="A27" s="17" t="s">
        <v>1263</v>
      </c>
      <c r="B27" s="5" t="s">
        <v>890</v>
      </c>
      <c r="C27" s="5" t="s">
        <v>1201</v>
      </c>
      <c r="D27" s="5" t="s">
        <v>1264</v>
      </c>
      <c r="E27" s="5" t="s">
        <v>1265</v>
      </c>
      <c r="F27" s="5" t="s">
        <v>238</v>
      </c>
      <c r="G27" s="5" t="s">
        <v>1091</v>
      </c>
      <c r="H27" s="4" t="s">
        <v>55</v>
      </c>
      <c r="I27" s="4"/>
      <c r="J27" s="18"/>
      <c r="K27" s="4"/>
    </row>
    <row r="28" customFormat="false" ht="15" hidden="false" customHeight="true" outlineLevel="0" collapsed="false">
      <c r="A28" s="17" t="s">
        <v>1266</v>
      </c>
      <c r="B28" s="5" t="s">
        <v>890</v>
      </c>
      <c r="C28" s="5" t="s">
        <v>1197</v>
      </c>
      <c r="D28" s="5" t="s">
        <v>1267</v>
      </c>
      <c r="E28" s="5" t="s">
        <v>1268</v>
      </c>
      <c r="F28" s="5" t="s">
        <v>238</v>
      </c>
      <c r="G28" s="5" t="s">
        <v>1091</v>
      </c>
      <c r="H28" s="4" t="s">
        <v>55</v>
      </c>
      <c r="I28" s="4"/>
      <c r="J28" s="18"/>
      <c r="K28" s="4"/>
    </row>
    <row r="29" customFormat="false" ht="15" hidden="false" customHeight="true" outlineLevel="0" collapsed="false">
      <c r="A29" s="17" t="s">
        <v>1269</v>
      </c>
      <c r="B29" s="5" t="s">
        <v>900</v>
      </c>
      <c r="C29" s="5" t="s">
        <v>1193</v>
      </c>
      <c r="D29" s="5" t="s">
        <v>1270</v>
      </c>
      <c r="E29" s="5" t="s">
        <v>1271</v>
      </c>
      <c r="F29" s="5" t="s">
        <v>238</v>
      </c>
      <c r="G29" s="5" t="s">
        <v>1091</v>
      </c>
      <c r="H29" s="4" t="s">
        <v>55</v>
      </c>
      <c r="I29" s="4"/>
      <c r="J29" s="18"/>
      <c r="K29" s="4"/>
    </row>
    <row r="30" customFormat="false" ht="15" hidden="false" customHeight="true" outlineLevel="0" collapsed="false">
      <c r="A30" s="17" t="s">
        <v>1272</v>
      </c>
      <c r="B30" s="5" t="s">
        <v>900</v>
      </c>
      <c r="C30" s="5" t="s">
        <v>1197</v>
      </c>
      <c r="D30" s="5" t="s">
        <v>1273</v>
      </c>
      <c r="E30" s="5" t="s">
        <v>1274</v>
      </c>
      <c r="F30" s="5" t="s">
        <v>238</v>
      </c>
      <c r="G30" s="5" t="s">
        <v>1091</v>
      </c>
      <c r="H30" s="4" t="s">
        <v>55</v>
      </c>
      <c r="I30" s="4"/>
      <c r="J30" s="18"/>
      <c r="K30" s="4"/>
    </row>
    <row r="31" customFormat="false" ht="15" hidden="false" customHeight="true" outlineLevel="0" collapsed="false">
      <c r="A31" s="17" t="s">
        <v>1275</v>
      </c>
      <c r="B31" s="5" t="s">
        <v>358</v>
      </c>
      <c r="C31" s="5" t="s">
        <v>1193</v>
      </c>
      <c r="D31" s="5" t="s">
        <v>1276</v>
      </c>
      <c r="E31" s="5" t="s">
        <v>1277</v>
      </c>
      <c r="F31" s="5" t="s">
        <v>232</v>
      </c>
      <c r="G31" s="5" t="s">
        <v>1076</v>
      </c>
      <c r="H31" s="4" t="s">
        <v>55</v>
      </c>
      <c r="I31" s="4"/>
      <c r="J31" s="18"/>
      <c r="K31" s="4"/>
    </row>
    <row r="32" customFormat="false" ht="15" hidden="false" customHeight="true" outlineLevel="0" collapsed="false">
      <c r="A32" s="17" t="s">
        <v>1278</v>
      </c>
      <c r="B32" s="5" t="s">
        <v>358</v>
      </c>
      <c r="C32" s="5" t="s">
        <v>1201</v>
      </c>
      <c r="D32" s="5" t="s">
        <v>1279</v>
      </c>
      <c r="E32" s="5" t="s">
        <v>1280</v>
      </c>
      <c r="F32" s="5" t="s">
        <v>232</v>
      </c>
      <c r="G32" s="5" t="s">
        <v>1076</v>
      </c>
      <c r="H32" s="4" t="s">
        <v>55</v>
      </c>
      <c r="I32" s="4"/>
      <c r="J32" s="18"/>
      <c r="K32" s="4"/>
    </row>
    <row r="33" customFormat="false" ht="15" hidden="false" customHeight="true" outlineLevel="0" collapsed="false">
      <c r="A33" s="17" t="s">
        <v>1281</v>
      </c>
      <c r="B33" s="5" t="s">
        <v>358</v>
      </c>
      <c r="C33" s="5" t="s">
        <v>1197</v>
      </c>
      <c r="D33" s="5" t="s">
        <v>1282</v>
      </c>
      <c r="E33" s="5" t="s">
        <v>1283</v>
      </c>
      <c r="F33" s="5" t="s">
        <v>232</v>
      </c>
      <c r="G33" s="5" t="s">
        <v>1076</v>
      </c>
      <c r="H33" s="4" t="s">
        <v>55</v>
      </c>
      <c r="I33" s="4"/>
      <c r="J33" s="18"/>
      <c r="K33" s="4"/>
    </row>
    <row r="34" customFormat="false" ht="15" hidden="false" customHeight="true" outlineLevel="0" collapsed="false">
      <c r="A34" s="17" t="s">
        <v>1284</v>
      </c>
      <c r="B34" s="5" t="s">
        <v>361</v>
      </c>
      <c r="C34" s="5" t="s">
        <v>1193</v>
      </c>
      <c r="D34" s="5" t="s">
        <v>1285</v>
      </c>
      <c r="E34" s="5" t="s">
        <v>1286</v>
      </c>
      <c r="F34" s="5" t="s">
        <v>234</v>
      </c>
      <c r="G34" s="5" t="s">
        <v>1076</v>
      </c>
      <c r="H34" s="4" t="s">
        <v>55</v>
      </c>
      <c r="I34" s="4"/>
      <c r="J34" s="18"/>
      <c r="K34" s="4"/>
    </row>
    <row r="35" customFormat="false" ht="15" hidden="false" customHeight="true" outlineLevel="0" collapsed="false">
      <c r="A35" s="17" t="s">
        <v>1287</v>
      </c>
      <c r="B35" s="5" t="s">
        <v>361</v>
      </c>
      <c r="C35" s="5" t="s">
        <v>1197</v>
      </c>
      <c r="D35" s="5" t="s">
        <v>1288</v>
      </c>
      <c r="E35" s="5" t="s">
        <v>1289</v>
      </c>
      <c r="F35" s="5" t="s">
        <v>234</v>
      </c>
      <c r="G35" s="5" t="s">
        <v>1076</v>
      </c>
      <c r="H35" s="4" t="s">
        <v>55</v>
      </c>
      <c r="I35" s="4"/>
      <c r="J35" s="18"/>
      <c r="K35" s="4"/>
    </row>
    <row r="36" customFormat="false" ht="15" hidden="false" customHeight="true" outlineLevel="0" collapsed="false">
      <c r="A36" s="17" t="s">
        <v>1290</v>
      </c>
      <c r="B36" s="5" t="s">
        <v>364</v>
      </c>
      <c r="C36" s="5" t="s">
        <v>1193</v>
      </c>
      <c r="D36" s="5" t="s">
        <v>1291</v>
      </c>
      <c r="E36" s="5" t="s">
        <v>1292</v>
      </c>
      <c r="F36" s="5" t="s">
        <v>236</v>
      </c>
      <c r="G36" s="5" t="s">
        <v>1076</v>
      </c>
      <c r="H36" s="4" t="s">
        <v>55</v>
      </c>
      <c r="I36" s="4"/>
      <c r="J36" s="18"/>
      <c r="K36" s="4"/>
    </row>
    <row r="37" customFormat="false" ht="15" hidden="false" customHeight="true" outlineLevel="0" collapsed="false">
      <c r="A37" s="17" t="s">
        <v>1293</v>
      </c>
      <c r="B37" s="5" t="s">
        <v>364</v>
      </c>
      <c r="C37" s="5" t="s">
        <v>1201</v>
      </c>
      <c r="D37" s="5" t="s">
        <v>1294</v>
      </c>
      <c r="E37" s="5" t="s">
        <v>1295</v>
      </c>
      <c r="F37" s="5" t="s">
        <v>236</v>
      </c>
      <c r="G37" s="5" t="s">
        <v>1076</v>
      </c>
      <c r="H37" s="4" t="s">
        <v>55</v>
      </c>
      <c r="I37" s="4"/>
      <c r="J37" s="18"/>
      <c r="K37" s="4"/>
    </row>
    <row r="38" customFormat="false" ht="15" hidden="false" customHeight="true" outlineLevel="0" collapsed="false">
      <c r="A38" s="17" t="s">
        <v>1296</v>
      </c>
      <c r="B38" s="5" t="s">
        <v>343</v>
      </c>
      <c r="C38" s="5" t="s">
        <v>1193</v>
      </c>
      <c r="D38" s="5" t="s">
        <v>1297</v>
      </c>
      <c r="E38" s="5" t="s">
        <v>1298</v>
      </c>
      <c r="F38" s="5" t="s">
        <v>222</v>
      </c>
      <c r="G38" s="5" t="s">
        <v>1076</v>
      </c>
      <c r="H38" s="4" t="s">
        <v>55</v>
      </c>
      <c r="I38" s="4"/>
      <c r="J38" s="18"/>
      <c r="K38" s="4"/>
    </row>
    <row r="39" customFormat="false" ht="15" hidden="false" customHeight="true" outlineLevel="0" collapsed="false">
      <c r="A39" s="17" t="s">
        <v>1299</v>
      </c>
      <c r="B39" s="5" t="s">
        <v>343</v>
      </c>
      <c r="C39" s="5" t="s">
        <v>1201</v>
      </c>
      <c r="D39" s="5" t="s">
        <v>1300</v>
      </c>
      <c r="E39" s="5" t="s">
        <v>1301</v>
      </c>
      <c r="F39" s="5" t="s">
        <v>222</v>
      </c>
      <c r="G39" s="5" t="s">
        <v>1076</v>
      </c>
      <c r="H39" s="4" t="s">
        <v>55</v>
      </c>
      <c r="I39" s="4"/>
      <c r="J39" s="18"/>
      <c r="K39" s="4"/>
    </row>
    <row r="40" customFormat="false" ht="15" hidden="false" customHeight="true" outlineLevel="0" collapsed="false">
      <c r="A40" s="17" t="s">
        <v>1302</v>
      </c>
      <c r="B40" s="5" t="s">
        <v>343</v>
      </c>
      <c r="C40" s="5" t="s">
        <v>1197</v>
      </c>
      <c r="D40" s="5" t="s">
        <v>1303</v>
      </c>
      <c r="E40" s="5" t="s">
        <v>1304</v>
      </c>
      <c r="F40" s="5" t="s">
        <v>222</v>
      </c>
      <c r="G40" s="5" t="s">
        <v>1076</v>
      </c>
      <c r="H40" s="4" t="s">
        <v>55</v>
      </c>
      <c r="I40" s="4"/>
      <c r="J40" s="18"/>
      <c r="K40" s="4"/>
    </row>
    <row r="41" customFormat="false" ht="15" hidden="false" customHeight="true" outlineLevel="0" collapsed="false">
      <c r="A41" s="17" t="s">
        <v>1305</v>
      </c>
      <c r="B41" s="5" t="s">
        <v>346</v>
      </c>
      <c r="C41" s="5" t="s">
        <v>1193</v>
      </c>
      <c r="D41" s="5" t="s">
        <v>1306</v>
      </c>
      <c r="E41" s="5" t="s">
        <v>1307</v>
      </c>
      <c r="F41" s="5" t="s">
        <v>224</v>
      </c>
      <c r="G41" s="5" t="s">
        <v>1076</v>
      </c>
      <c r="H41" s="4" t="s">
        <v>55</v>
      </c>
      <c r="I41" s="4"/>
      <c r="J41" s="18"/>
      <c r="K41" s="4"/>
    </row>
    <row r="42" customFormat="false" ht="23.25" hidden="false" customHeight="true" outlineLevel="0" collapsed="false">
      <c r="A42" s="17" t="s">
        <v>1308</v>
      </c>
      <c r="B42" s="5" t="s">
        <v>346</v>
      </c>
      <c r="C42" s="5" t="s">
        <v>1201</v>
      </c>
      <c r="D42" s="5" t="s">
        <v>1309</v>
      </c>
      <c r="E42" s="5" t="s">
        <v>1310</v>
      </c>
      <c r="F42" s="5" t="s">
        <v>1161</v>
      </c>
      <c r="G42" s="5" t="s">
        <v>1311</v>
      </c>
      <c r="H42" s="4" t="s">
        <v>55</v>
      </c>
      <c r="I42" s="4"/>
      <c r="J42" s="18"/>
      <c r="K42" s="4"/>
    </row>
    <row r="43" customFormat="false" ht="15" hidden="false" customHeight="true" outlineLevel="0" collapsed="false">
      <c r="A43" s="17" t="s">
        <v>1312</v>
      </c>
      <c r="B43" s="5" t="s">
        <v>346</v>
      </c>
      <c r="C43" s="5" t="s">
        <v>1201</v>
      </c>
      <c r="D43" s="5" t="s">
        <v>1313</v>
      </c>
      <c r="E43" s="5" t="s">
        <v>1314</v>
      </c>
      <c r="F43" s="5" t="s">
        <v>218</v>
      </c>
      <c r="G43" s="5" t="s">
        <v>1311</v>
      </c>
      <c r="H43" s="4" t="s">
        <v>55</v>
      </c>
      <c r="I43" s="4"/>
      <c r="J43" s="18"/>
      <c r="K43" s="4"/>
    </row>
    <row r="44" customFormat="false" ht="15" hidden="false" customHeight="true" outlineLevel="0" collapsed="false">
      <c r="A44" s="17" t="s">
        <v>1315</v>
      </c>
      <c r="B44" s="5" t="s">
        <v>346</v>
      </c>
      <c r="C44" s="5" t="s">
        <v>1197</v>
      </c>
      <c r="D44" s="5" t="s">
        <v>1316</v>
      </c>
      <c r="E44" s="5" t="s">
        <v>1317</v>
      </c>
      <c r="F44" s="5" t="s">
        <v>224</v>
      </c>
      <c r="G44" s="5" t="s">
        <v>1076</v>
      </c>
      <c r="H44" s="4" t="s">
        <v>55</v>
      </c>
      <c r="I44" s="4"/>
      <c r="J44" s="18"/>
      <c r="K44" s="4"/>
    </row>
    <row r="45" customFormat="false" ht="15" hidden="false" customHeight="true" outlineLevel="0" collapsed="false">
      <c r="A45" s="17" t="s">
        <v>1318</v>
      </c>
      <c r="B45" s="5" t="s">
        <v>370</v>
      </c>
      <c r="C45" s="5" t="s">
        <v>1193</v>
      </c>
      <c r="D45" s="5" t="s">
        <v>1319</v>
      </c>
      <c r="E45" s="5" t="s">
        <v>1320</v>
      </c>
      <c r="F45" s="5" t="s">
        <v>243</v>
      </c>
      <c r="G45" s="5" t="s">
        <v>1076</v>
      </c>
      <c r="H45" s="4" t="s">
        <v>55</v>
      </c>
      <c r="I45" s="4"/>
      <c r="J45" s="18"/>
      <c r="K45" s="4"/>
    </row>
    <row r="46" customFormat="false" ht="15" hidden="false" customHeight="true" outlineLevel="0" collapsed="false">
      <c r="A46" s="17" t="s">
        <v>1321</v>
      </c>
      <c r="B46" s="5" t="s">
        <v>370</v>
      </c>
      <c r="C46" s="5" t="s">
        <v>1197</v>
      </c>
      <c r="D46" s="5" t="s">
        <v>1322</v>
      </c>
      <c r="E46" s="5" t="s">
        <v>1323</v>
      </c>
      <c r="F46" s="5" t="s">
        <v>243</v>
      </c>
      <c r="G46" s="5" t="s">
        <v>1076</v>
      </c>
      <c r="H46" s="4" t="s">
        <v>55</v>
      </c>
      <c r="I46" s="4"/>
      <c r="J46" s="18"/>
      <c r="K46" s="4"/>
    </row>
    <row r="47" customFormat="false" ht="15" hidden="false" customHeight="true" outlineLevel="0" collapsed="false">
      <c r="A47" s="17" t="s">
        <v>1324</v>
      </c>
      <c r="B47" s="5" t="s">
        <v>373</v>
      </c>
      <c r="C47" s="5" t="s">
        <v>1193</v>
      </c>
      <c r="D47" s="5" t="s">
        <v>1325</v>
      </c>
      <c r="E47" s="5" t="s">
        <v>1326</v>
      </c>
      <c r="F47" s="5" t="s">
        <v>245</v>
      </c>
      <c r="G47" s="5" t="s">
        <v>1052</v>
      </c>
      <c r="H47" s="4" t="s">
        <v>55</v>
      </c>
      <c r="I47" s="4"/>
      <c r="J47" s="18"/>
      <c r="K47" s="4"/>
    </row>
    <row r="48" customFormat="false" ht="15" hidden="false" customHeight="true" outlineLevel="0" collapsed="false">
      <c r="A48" s="17" t="s">
        <v>1327</v>
      </c>
      <c r="B48" s="5" t="s">
        <v>373</v>
      </c>
      <c r="C48" s="5" t="s">
        <v>1193</v>
      </c>
      <c r="D48" s="5" t="s">
        <v>1328</v>
      </c>
      <c r="E48" s="5" t="s">
        <v>1329</v>
      </c>
      <c r="F48" s="5" t="s">
        <v>245</v>
      </c>
      <c r="G48" s="5" t="s">
        <v>1052</v>
      </c>
      <c r="H48" s="4" t="s">
        <v>55</v>
      </c>
      <c r="I48" s="4"/>
      <c r="J48" s="18"/>
      <c r="K48" s="4"/>
    </row>
    <row r="49" customFormat="false" ht="15" hidden="false" customHeight="true" outlineLevel="0" collapsed="false">
      <c r="A49" s="17" t="s">
        <v>1330</v>
      </c>
      <c r="B49" s="5" t="s">
        <v>779</v>
      </c>
      <c r="C49" s="5" t="s">
        <v>1193</v>
      </c>
      <c r="D49" s="5" t="s">
        <v>1331</v>
      </c>
      <c r="E49" s="5" t="s">
        <v>1332</v>
      </c>
      <c r="F49" s="5" t="s">
        <v>228</v>
      </c>
      <c r="G49" s="5" t="s">
        <v>1076</v>
      </c>
      <c r="H49" s="4" t="s">
        <v>55</v>
      </c>
      <c r="I49" s="4"/>
      <c r="J49" s="18"/>
      <c r="K49" s="4"/>
    </row>
    <row r="50" customFormat="false" ht="15" hidden="false" customHeight="true" outlineLevel="0" collapsed="false">
      <c r="A50" s="17" t="s">
        <v>1333</v>
      </c>
      <c r="B50" s="5" t="s">
        <v>779</v>
      </c>
      <c r="C50" s="5" t="s">
        <v>1201</v>
      </c>
      <c r="D50" s="5" t="s">
        <v>1334</v>
      </c>
      <c r="E50" s="5" t="s">
        <v>1335</v>
      </c>
      <c r="F50" s="5" t="s">
        <v>228</v>
      </c>
      <c r="G50" s="5" t="s">
        <v>1076</v>
      </c>
      <c r="H50" s="4" t="s">
        <v>55</v>
      </c>
      <c r="I50" s="4"/>
      <c r="J50" s="18"/>
      <c r="K50" s="4"/>
    </row>
    <row r="51" customFormat="false" ht="15" hidden="false" customHeight="true" outlineLevel="0" collapsed="false">
      <c r="A51" s="17" t="s">
        <v>1336</v>
      </c>
      <c r="B51" s="5" t="s">
        <v>779</v>
      </c>
      <c r="C51" s="5" t="s">
        <v>1197</v>
      </c>
      <c r="D51" s="5" t="s">
        <v>1337</v>
      </c>
      <c r="E51" s="5" t="s">
        <v>1304</v>
      </c>
      <c r="F51" s="5" t="s">
        <v>228</v>
      </c>
      <c r="G51" s="5" t="s">
        <v>1076</v>
      </c>
      <c r="H51" s="4" t="s">
        <v>55</v>
      </c>
      <c r="I51" s="4"/>
      <c r="J51" s="18"/>
      <c r="K51" s="4"/>
    </row>
    <row r="52" customFormat="false" ht="15" hidden="false" customHeight="true" outlineLevel="0" collapsed="false">
      <c r="A52" s="17" t="s">
        <v>1338</v>
      </c>
      <c r="B52" s="5" t="s">
        <v>787</v>
      </c>
      <c r="C52" s="5" t="s">
        <v>1193</v>
      </c>
      <c r="D52" s="5" t="s">
        <v>1339</v>
      </c>
      <c r="E52" s="5" t="s">
        <v>1340</v>
      </c>
      <c r="F52" s="5" t="s">
        <v>228</v>
      </c>
      <c r="G52" s="5" t="s">
        <v>1076</v>
      </c>
      <c r="H52" s="4" t="s">
        <v>55</v>
      </c>
      <c r="I52" s="4"/>
      <c r="J52" s="18"/>
      <c r="K52" s="4"/>
    </row>
    <row r="53" customFormat="false" ht="15" hidden="false" customHeight="true" outlineLevel="0" collapsed="false">
      <c r="A53" s="17" t="s">
        <v>1341</v>
      </c>
      <c r="B53" s="5" t="s">
        <v>787</v>
      </c>
      <c r="C53" s="5" t="s">
        <v>1201</v>
      </c>
      <c r="D53" s="5" t="s">
        <v>1342</v>
      </c>
      <c r="E53" s="5" t="s">
        <v>1343</v>
      </c>
      <c r="F53" s="5" t="s">
        <v>228</v>
      </c>
      <c r="G53" s="5" t="s">
        <v>1076</v>
      </c>
      <c r="H53" s="4" t="s">
        <v>55</v>
      </c>
      <c r="I53" s="4"/>
      <c r="J53" s="18"/>
      <c r="K53" s="4"/>
    </row>
    <row r="54" customFormat="false" ht="15" hidden="false" customHeight="true" outlineLevel="0" collapsed="false">
      <c r="A54" s="17" t="s">
        <v>1344</v>
      </c>
      <c r="B54" s="5" t="s">
        <v>787</v>
      </c>
      <c r="C54" s="5" t="s">
        <v>1197</v>
      </c>
      <c r="D54" s="5" t="s">
        <v>1345</v>
      </c>
      <c r="E54" s="5" t="s">
        <v>1346</v>
      </c>
      <c r="F54" s="5" t="s">
        <v>228</v>
      </c>
      <c r="G54" s="5" t="s">
        <v>1076</v>
      </c>
      <c r="H54" s="4" t="s">
        <v>55</v>
      </c>
      <c r="I54" s="4"/>
      <c r="J54" s="18"/>
      <c r="K54" s="4"/>
    </row>
    <row r="55" customFormat="false" ht="15" hidden="false" customHeight="true" outlineLevel="0" collapsed="false">
      <c r="A55" s="17" t="s">
        <v>1347</v>
      </c>
      <c r="B55" s="5" t="s">
        <v>355</v>
      </c>
      <c r="C55" s="5" t="s">
        <v>1193</v>
      </c>
      <c r="D55" s="5" t="s">
        <v>1348</v>
      </c>
      <c r="E55" s="5" t="s">
        <v>1349</v>
      </c>
      <c r="F55" s="5" t="s">
        <v>230</v>
      </c>
      <c r="G55" s="5" t="s">
        <v>1076</v>
      </c>
      <c r="H55" s="4" t="s">
        <v>55</v>
      </c>
      <c r="I55" s="4"/>
      <c r="J55" s="18"/>
      <c r="K55" s="4"/>
    </row>
    <row r="56" customFormat="false" ht="15" hidden="false" customHeight="true" outlineLevel="0" collapsed="false">
      <c r="A56" s="17" t="s">
        <v>1350</v>
      </c>
      <c r="B56" s="5" t="s">
        <v>355</v>
      </c>
      <c r="C56" s="5" t="s">
        <v>1201</v>
      </c>
      <c r="D56" s="5" t="s">
        <v>1351</v>
      </c>
      <c r="E56" s="5" t="s">
        <v>1352</v>
      </c>
      <c r="F56" s="5" t="s">
        <v>230</v>
      </c>
      <c r="G56" s="5" t="s">
        <v>1076</v>
      </c>
      <c r="H56" s="4" t="s">
        <v>55</v>
      </c>
      <c r="I56" s="4"/>
      <c r="J56" s="18"/>
      <c r="K56" s="4"/>
    </row>
    <row r="57" customFormat="false" ht="15" hidden="false" customHeight="true" outlineLevel="0" collapsed="false">
      <c r="A57" s="17" t="s">
        <v>1353</v>
      </c>
      <c r="B57" s="5" t="s">
        <v>355</v>
      </c>
      <c r="C57" s="5" t="s">
        <v>1197</v>
      </c>
      <c r="D57" s="5" t="s">
        <v>1354</v>
      </c>
      <c r="E57" s="5" t="s">
        <v>1304</v>
      </c>
      <c r="F57" s="5" t="s">
        <v>230</v>
      </c>
      <c r="G57" s="5" t="s">
        <v>1076</v>
      </c>
      <c r="H57" s="4" t="s">
        <v>55</v>
      </c>
      <c r="I57" s="4"/>
      <c r="J57" s="18"/>
      <c r="K57" s="4"/>
    </row>
    <row r="58" customFormat="false" ht="15" hidden="false" customHeight="true" outlineLevel="0" collapsed="false">
      <c r="A58" s="17" t="s">
        <v>1355</v>
      </c>
      <c r="B58" s="5" t="s">
        <v>503</v>
      </c>
      <c r="C58" s="5" t="s">
        <v>1193</v>
      </c>
      <c r="D58" s="5" t="s">
        <v>1356</v>
      </c>
      <c r="E58" s="5" t="s">
        <v>1357</v>
      </c>
      <c r="F58" s="5" t="s">
        <v>206</v>
      </c>
      <c r="G58" s="5" t="s">
        <v>1052</v>
      </c>
      <c r="H58" s="4" t="s">
        <v>55</v>
      </c>
      <c r="I58" s="4"/>
      <c r="J58" s="18"/>
      <c r="K58" s="4"/>
    </row>
    <row r="59" customFormat="false" ht="15" hidden="false" customHeight="true" outlineLevel="0" collapsed="false">
      <c r="A59" s="17" t="s">
        <v>1358</v>
      </c>
      <c r="B59" s="5" t="s">
        <v>503</v>
      </c>
      <c r="C59" s="5" t="s">
        <v>1201</v>
      </c>
      <c r="D59" s="5" t="s">
        <v>1359</v>
      </c>
      <c r="E59" s="5" t="s">
        <v>1360</v>
      </c>
      <c r="F59" s="5" t="s">
        <v>206</v>
      </c>
      <c r="G59" s="5" t="s">
        <v>1052</v>
      </c>
      <c r="H59" s="4" t="s">
        <v>55</v>
      </c>
      <c r="I59" s="4"/>
      <c r="J59" s="18"/>
      <c r="K59" s="4"/>
    </row>
    <row r="60" customFormat="false" ht="15" hidden="false" customHeight="true" outlineLevel="0" collapsed="false">
      <c r="A60" s="17" t="s">
        <v>1361</v>
      </c>
      <c r="B60" s="5" t="s">
        <v>503</v>
      </c>
      <c r="C60" s="5" t="s">
        <v>1197</v>
      </c>
      <c r="D60" s="5" t="s">
        <v>1362</v>
      </c>
      <c r="E60" s="5" t="s">
        <v>1363</v>
      </c>
      <c r="F60" s="5" t="s">
        <v>206</v>
      </c>
      <c r="G60" s="5" t="s">
        <v>1052</v>
      </c>
      <c r="H60" s="4" t="s">
        <v>55</v>
      </c>
      <c r="I60" s="4"/>
      <c r="J60" s="18"/>
      <c r="K60" s="4"/>
    </row>
    <row r="61" customFormat="false" ht="15" hidden="false" customHeight="true" outlineLevel="0" collapsed="false">
      <c r="A61" s="17" t="s">
        <v>1364</v>
      </c>
      <c r="B61" s="5" t="s">
        <v>528</v>
      </c>
      <c r="C61" s="5" t="s">
        <v>1193</v>
      </c>
      <c r="D61" s="5" t="s">
        <v>1168</v>
      </c>
      <c r="E61" s="5" t="s">
        <v>1357</v>
      </c>
      <c r="F61" s="5" t="s">
        <v>206</v>
      </c>
      <c r="G61" s="5" t="s">
        <v>1052</v>
      </c>
      <c r="H61" s="4" t="s">
        <v>55</v>
      </c>
      <c r="I61" s="4"/>
      <c r="J61" s="18"/>
      <c r="K61" s="4"/>
    </row>
    <row r="62" customFormat="false" ht="15" hidden="false" customHeight="true" outlineLevel="0" collapsed="false">
      <c r="A62" s="17" t="s">
        <v>1365</v>
      </c>
      <c r="B62" s="5" t="s">
        <v>620</v>
      </c>
      <c r="C62" s="5" t="s">
        <v>1193</v>
      </c>
      <c r="D62" s="5" t="s">
        <v>1366</v>
      </c>
      <c r="E62" s="5" t="s">
        <v>1367</v>
      </c>
      <c r="F62" s="5" t="s">
        <v>216</v>
      </c>
      <c r="G62" s="5" t="s">
        <v>1052</v>
      </c>
      <c r="H62" s="4" t="s">
        <v>55</v>
      </c>
      <c r="I62" s="4"/>
      <c r="J62" s="18"/>
      <c r="K62" s="4"/>
    </row>
    <row r="63" customFormat="false" ht="15" hidden="false" customHeight="true" outlineLevel="0" collapsed="false">
      <c r="A63" s="17" t="s">
        <v>1368</v>
      </c>
      <c r="B63" s="5" t="s">
        <v>595</v>
      </c>
      <c r="C63" s="5" t="s">
        <v>1193</v>
      </c>
      <c r="D63" s="5" t="s">
        <v>1369</v>
      </c>
      <c r="E63" s="5" t="s">
        <v>1370</v>
      </c>
      <c r="F63" s="5" t="s">
        <v>216</v>
      </c>
      <c r="G63" s="5" t="s">
        <v>1052</v>
      </c>
      <c r="H63" s="4" t="s">
        <v>55</v>
      </c>
      <c r="I63" s="4"/>
      <c r="J63" s="18"/>
      <c r="K63" s="4"/>
    </row>
    <row r="64" customFormat="false" ht="15" hidden="false" customHeight="true" outlineLevel="0" collapsed="false">
      <c r="A64" s="17" t="s">
        <v>1371</v>
      </c>
      <c r="B64" s="5" t="s">
        <v>595</v>
      </c>
      <c r="C64" s="5" t="s">
        <v>1197</v>
      </c>
      <c r="D64" s="5" t="s">
        <v>1372</v>
      </c>
      <c r="E64" s="5" t="s">
        <v>1373</v>
      </c>
      <c r="F64" s="5" t="s">
        <v>216</v>
      </c>
      <c r="G64" s="5" t="s">
        <v>1052</v>
      </c>
      <c r="H64" s="4" t="s">
        <v>55</v>
      </c>
      <c r="I64" s="4"/>
      <c r="J64" s="18"/>
      <c r="K64" s="4"/>
    </row>
    <row r="65" customFormat="false" ht="15" hidden="false" customHeight="true" outlineLevel="0" collapsed="false">
      <c r="A65" s="17" t="s">
        <v>1374</v>
      </c>
      <c r="B65" s="5" t="s">
        <v>613</v>
      </c>
      <c r="C65" s="5" t="s">
        <v>1193</v>
      </c>
      <c r="D65" s="5" t="s">
        <v>1375</v>
      </c>
      <c r="E65" s="5" t="s">
        <v>1376</v>
      </c>
      <c r="F65" s="5" t="s">
        <v>216</v>
      </c>
      <c r="G65" s="5" t="s">
        <v>1052</v>
      </c>
      <c r="H65" s="4" t="s">
        <v>55</v>
      </c>
      <c r="I65" s="4"/>
      <c r="J65" s="18"/>
      <c r="K65" s="4"/>
    </row>
    <row r="66" customFormat="false" ht="15" hidden="false" customHeight="true" outlineLevel="0" collapsed="false">
      <c r="A66" s="17" t="s">
        <v>1377</v>
      </c>
      <c r="B66" s="5" t="s">
        <v>626</v>
      </c>
      <c r="C66" s="5" t="s">
        <v>1193</v>
      </c>
      <c r="D66" s="5" t="s">
        <v>1378</v>
      </c>
      <c r="E66" s="5" t="s">
        <v>1379</v>
      </c>
      <c r="F66" s="5" t="s">
        <v>216</v>
      </c>
      <c r="G66" s="5" t="s">
        <v>1240</v>
      </c>
      <c r="H66" s="4" t="s">
        <v>55</v>
      </c>
      <c r="I66" s="4"/>
      <c r="J66" s="18"/>
      <c r="K66" s="4"/>
    </row>
    <row r="67" customFormat="false" ht="15" hidden="false" customHeight="true" outlineLevel="0" collapsed="false">
      <c r="A67" s="17" t="s">
        <v>1380</v>
      </c>
      <c r="B67" s="5" t="s">
        <v>639</v>
      </c>
      <c r="C67" s="5" t="s">
        <v>1193</v>
      </c>
      <c r="D67" s="5" t="s">
        <v>1381</v>
      </c>
      <c r="E67" s="5" t="s">
        <v>1382</v>
      </c>
      <c r="F67" s="5" t="s">
        <v>218</v>
      </c>
      <c r="G67" s="5" t="s">
        <v>1240</v>
      </c>
      <c r="H67" s="4" t="s">
        <v>55</v>
      </c>
      <c r="I67" s="4"/>
      <c r="J67" s="18"/>
      <c r="K67" s="4"/>
    </row>
    <row r="68" customFormat="false" ht="15" hidden="false" customHeight="true" outlineLevel="0" collapsed="false">
      <c r="A68" s="17" t="s">
        <v>1383</v>
      </c>
      <c r="B68" s="5" t="s">
        <v>639</v>
      </c>
      <c r="C68" s="5" t="s">
        <v>1201</v>
      </c>
      <c r="D68" s="5" t="s">
        <v>1384</v>
      </c>
      <c r="E68" s="5" t="s">
        <v>1385</v>
      </c>
      <c r="F68" s="5" t="s">
        <v>218</v>
      </c>
      <c r="G68" s="5" t="s">
        <v>1240</v>
      </c>
      <c r="H68" s="4" t="s">
        <v>55</v>
      </c>
      <c r="I68" s="4"/>
      <c r="J68" s="18"/>
      <c r="K68" s="4"/>
    </row>
  </sheetData>
  <autoFilter ref="A4:K68"/>
  <conditionalFormatting sqref="H5:H300">
    <cfRule type="cellIs" priority="2" operator="equal" aboveAverage="0" equalAverage="0" bottom="0" percent="0" rank="0" text="" dxfId="1">
      <formula>"نجح"</formula>
    </cfRule>
    <cfRule type="cellIs" priority="3" operator="equal" aboveAverage="0" equalAverage="0" bottom="0" percent="0" rank="0" text="" dxfId="0">
      <formula>"فشل"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H5:H300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1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60"/>
  </cols>
  <sheetData>
    <row r="1" customFormat="false" ht="18" hidden="false" customHeight="true" outlineLevel="0" collapsed="false">
      <c r="A1" s="2" t="s">
        <v>1386</v>
      </c>
    </row>
    <row r="2" customFormat="false" ht="15" hidden="false" customHeight="true" outlineLevel="0" collapsed="false">
      <c r="A2" s="7" t="s">
        <v>1387</v>
      </c>
    </row>
    <row r="4" customFormat="false" ht="31.5" hidden="false" customHeight="true" outlineLevel="0" collapsed="false">
      <c r="A4" s="16" t="s">
        <v>1388</v>
      </c>
      <c r="B4" s="16" t="s">
        <v>1389</v>
      </c>
      <c r="C4" s="16" t="s">
        <v>1390</v>
      </c>
      <c r="D4" s="16" t="s">
        <v>1391</v>
      </c>
      <c r="E4" s="16" t="s">
        <v>1392</v>
      </c>
      <c r="F4" s="16" t="s">
        <v>1393</v>
      </c>
      <c r="G4" s="16" t="s">
        <v>1394</v>
      </c>
      <c r="H4" s="16" t="s">
        <v>194</v>
      </c>
    </row>
    <row r="5" customFormat="false" ht="15" hidden="false" customHeight="true" outlineLevel="0" collapsed="false">
      <c r="A5" s="5" t="n">
        <v>1</v>
      </c>
      <c r="B5" s="5" t="s">
        <v>1395</v>
      </c>
      <c r="C5" s="5" t="s">
        <v>195</v>
      </c>
      <c r="D5" s="5" t="s">
        <v>1396</v>
      </c>
      <c r="E5" s="5" t="s">
        <v>115</v>
      </c>
      <c r="F5" s="5" t="s">
        <v>1397</v>
      </c>
      <c r="G5" s="25" t="str">
        <f aca="false">IF(COUNTIF($B$5:$B$300,B5)&gt;1,"⚠ مكرر","✔")</f>
        <v>✔</v>
      </c>
      <c r="H5" s="5" t="s">
        <v>1398</v>
      </c>
    </row>
    <row r="6" customFormat="false" ht="15" hidden="false" customHeight="true" outlineLevel="0" collapsed="false">
      <c r="A6" s="5" t="n">
        <v>2</v>
      </c>
      <c r="B6" s="5" t="s">
        <v>1399</v>
      </c>
      <c r="C6" s="5" t="s">
        <v>195</v>
      </c>
      <c r="D6" s="5" t="s">
        <v>1396</v>
      </c>
      <c r="E6" s="5" t="s">
        <v>115</v>
      </c>
      <c r="F6" s="5" t="s">
        <v>1397</v>
      </c>
      <c r="G6" s="25" t="str">
        <f aca="false">IF(COUNTIF($B$5:$B$300,B6)&gt;1,"⚠ مكرر","✔")</f>
        <v>✔</v>
      </c>
      <c r="H6" s="5" t="s">
        <v>1400</v>
      </c>
    </row>
    <row r="7" customFormat="false" ht="15" hidden="false" customHeight="true" outlineLevel="0" collapsed="false">
      <c r="A7" s="5" t="n">
        <v>3</v>
      </c>
      <c r="B7" s="5" t="s">
        <v>1401</v>
      </c>
      <c r="C7" s="5" t="s">
        <v>195</v>
      </c>
      <c r="D7" s="5" t="s">
        <v>1396</v>
      </c>
      <c r="E7" s="5" t="s">
        <v>115</v>
      </c>
      <c r="F7" s="5" t="s">
        <v>1397</v>
      </c>
      <c r="G7" s="25" t="str">
        <f aca="false">IF(COUNTIF($B$5:$B$300,B7)&gt;1,"⚠ مكرر","✔")</f>
        <v>✔</v>
      </c>
      <c r="H7" s="5" t="s">
        <v>1400</v>
      </c>
    </row>
    <row r="8" customFormat="false" ht="15" hidden="false" customHeight="true" outlineLevel="0" collapsed="false">
      <c r="A8" s="5" t="n">
        <v>4</v>
      </c>
      <c r="B8" s="5" t="s">
        <v>1402</v>
      </c>
      <c r="C8" s="5" t="s">
        <v>195</v>
      </c>
      <c r="D8" s="5" t="s">
        <v>1396</v>
      </c>
      <c r="E8" s="5" t="s">
        <v>115</v>
      </c>
      <c r="F8" s="5" t="s">
        <v>1397</v>
      </c>
      <c r="G8" s="25" t="str">
        <f aca="false">IF(COUNTIF($B$5:$B$300,B8)&gt;1,"⚠ مكرر","✔")</f>
        <v>✔</v>
      </c>
      <c r="H8" s="5" t="s">
        <v>1400</v>
      </c>
    </row>
    <row r="9" customFormat="false" ht="15" hidden="false" customHeight="true" outlineLevel="0" collapsed="false">
      <c r="A9" s="5" t="n">
        <v>5</v>
      </c>
      <c r="B9" s="5" t="s">
        <v>1403</v>
      </c>
      <c r="C9" s="5" t="s">
        <v>195</v>
      </c>
      <c r="D9" s="5" t="s">
        <v>1404</v>
      </c>
      <c r="E9" s="5" t="s">
        <v>115</v>
      </c>
      <c r="F9" s="5" t="s">
        <v>1405</v>
      </c>
      <c r="G9" s="25" t="str">
        <f aca="false">IF(COUNTIF($B$5:$B$300,B9)&gt;1,"⚠ مكرر","✔")</f>
        <v>✔</v>
      </c>
      <c r="H9" s="5" t="s">
        <v>1400</v>
      </c>
    </row>
    <row r="10" customFormat="false" ht="15" hidden="false" customHeight="true" outlineLevel="0" collapsed="false">
      <c r="A10" s="5" t="n">
        <v>6</v>
      </c>
      <c r="B10" s="5" t="s">
        <v>1406</v>
      </c>
      <c r="C10" s="5" t="s">
        <v>195</v>
      </c>
      <c r="D10" s="5" t="s">
        <v>1404</v>
      </c>
      <c r="E10" s="5" t="s">
        <v>115</v>
      </c>
      <c r="F10" s="5" t="s">
        <v>1407</v>
      </c>
      <c r="G10" s="25" t="str">
        <f aca="false">IF(COUNTIF($B$5:$B$300,B10)&gt;1,"⚠ مكرر","✔")</f>
        <v>✔</v>
      </c>
      <c r="H10" s="5"/>
    </row>
    <row r="11" customFormat="false" ht="15" hidden="false" customHeight="true" outlineLevel="0" collapsed="false">
      <c r="A11" s="5" t="n">
        <v>7</v>
      </c>
      <c r="B11" s="5" t="s">
        <v>1408</v>
      </c>
      <c r="C11" s="5" t="s">
        <v>195</v>
      </c>
      <c r="D11" s="5" t="s">
        <v>1404</v>
      </c>
      <c r="E11" s="5" t="s">
        <v>115</v>
      </c>
      <c r="F11" s="5" t="s">
        <v>1407</v>
      </c>
      <c r="G11" s="25" t="str">
        <f aca="false">IF(COUNTIF($B$5:$B$300,B11)&gt;1,"⚠ مكرر","✔")</f>
        <v>✔</v>
      </c>
      <c r="H11" s="5"/>
    </row>
    <row r="12" customFormat="false" ht="15" hidden="false" customHeight="true" outlineLevel="0" collapsed="false">
      <c r="A12" s="5" t="n">
        <v>8</v>
      </c>
      <c r="B12" s="5" t="s">
        <v>1409</v>
      </c>
      <c r="C12" s="5" t="s">
        <v>195</v>
      </c>
      <c r="D12" s="5" t="s">
        <v>1404</v>
      </c>
      <c r="E12" s="5" t="s">
        <v>115</v>
      </c>
      <c r="F12" s="5" t="s">
        <v>1407</v>
      </c>
      <c r="G12" s="25" t="str">
        <f aca="false">IF(COUNTIF($B$5:$B$300,B12)&gt;1,"⚠ مكرر","✔")</f>
        <v>✔</v>
      </c>
      <c r="H12" s="5"/>
    </row>
    <row r="13" customFormat="false" ht="15" hidden="false" customHeight="true" outlineLevel="0" collapsed="false">
      <c r="A13" s="5" t="n">
        <v>9</v>
      </c>
      <c r="B13" s="5" t="s">
        <v>1410</v>
      </c>
      <c r="C13" s="5" t="s">
        <v>195</v>
      </c>
      <c r="D13" s="5" t="s">
        <v>1396</v>
      </c>
      <c r="E13" s="5" t="s">
        <v>115</v>
      </c>
      <c r="F13" s="5" t="s">
        <v>1407</v>
      </c>
      <c r="G13" s="25" t="str">
        <f aca="false">IF(COUNTIF($B$5:$B$300,B13)&gt;1,"⚠ مكرر","✔")</f>
        <v>✔</v>
      </c>
      <c r="H13" s="5"/>
    </row>
    <row r="14" customFormat="false" ht="15" hidden="false" customHeight="true" outlineLevel="0" collapsed="false">
      <c r="A14" s="5" t="n">
        <v>10</v>
      </c>
      <c r="B14" s="5" t="s">
        <v>1411</v>
      </c>
      <c r="C14" s="5" t="s">
        <v>195</v>
      </c>
      <c r="D14" s="5" t="s">
        <v>1404</v>
      </c>
      <c r="E14" s="5" t="s">
        <v>115</v>
      </c>
      <c r="F14" s="5" t="s">
        <v>1405</v>
      </c>
      <c r="G14" s="25" t="str">
        <f aca="false">IF(COUNTIF($B$5:$B$300,B14)&gt;1,"⚠ مكرر","✔")</f>
        <v>✔</v>
      </c>
      <c r="H14" s="5" t="s">
        <v>1400</v>
      </c>
    </row>
    <row r="15" customFormat="false" ht="15" hidden="false" customHeight="true" outlineLevel="0" collapsed="false">
      <c r="A15" s="5" t="n">
        <v>11</v>
      </c>
      <c r="B15" s="5" t="s">
        <v>1412</v>
      </c>
      <c r="C15" s="5" t="s">
        <v>195</v>
      </c>
      <c r="D15" s="5" t="s">
        <v>1404</v>
      </c>
      <c r="E15" s="5" t="s">
        <v>115</v>
      </c>
      <c r="F15" s="5" t="s">
        <v>1405</v>
      </c>
      <c r="G15" s="25" t="str">
        <f aca="false">IF(COUNTIF($B$5:$B$300,B15)&gt;1,"⚠ مكرر","✔")</f>
        <v>✔</v>
      </c>
      <c r="H15" s="5" t="s">
        <v>1400</v>
      </c>
    </row>
    <row r="16" customFormat="false" ht="15" hidden="false" customHeight="true" outlineLevel="0" collapsed="false">
      <c r="A16" s="5" t="n">
        <v>12</v>
      </c>
      <c r="B16" s="5" t="s">
        <v>1413</v>
      </c>
      <c r="C16" s="5" t="s">
        <v>195</v>
      </c>
      <c r="D16" s="5" t="s">
        <v>1404</v>
      </c>
      <c r="E16" s="5" t="s">
        <v>115</v>
      </c>
      <c r="F16" s="5" t="s">
        <v>1407</v>
      </c>
      <c r="G16" s="25" t="str">
        <f aca="false">IF(COUNTIF($B$5:$B$300,B16)&gt;1,"⚠ مكرر","✔")</f>
        <v>✔</v>
      </c>
      <c r="H16" s="5"/>
    </row>
    <row r="17" customFormat="false" ht="23.25" hidden="false" customHeight="true" outlineLevel="0" collapsed="false">
      <c r="A17" s="5" t="n">
        <v>13</v>
      </c>
      <c r="B17" s="5" t="s">
        <v>1414</v>
      </c>
      <c r="C17" s="5" t="s">
        <v>195</v>
      </c>
      <c r="D17" s="5" t="s">
        <v>1404</v>
      </c>
      <c r="E17" s="5" t="s">
        <v>115</v>
      </c>
      <c r="F17" s="5" t="s">
        <v>1405</v>
      </c>
      <c r="G17" s="25" t="str">
        <f aca="false">IF(COUNTIF($B$5:$B$300,B17)&gt;1,"⚠ مكرر","✔")</f>
        <v>✔</v>
      </c>
      <c r="H17" s="5" t="s">
        <v>1415</v>
      </c>
    </row>
    <row r="18" customFormat="false" ht="15" hidden="false" customHeight="true" outlineLevel="0" collapsed="false">
      <c r="A18" s="5" t="n">
        <v>14</v>
      </c>
      <c r="B18" s="5" t="s">
        <v>1416</v>
      </c>
      <c r="C18" s="5" t="s">
        <v>195</v>
      </c>
      <c r="D18" s="5" t="s">
        <v>1404</v>
      </c>
      <c r="E18" s="5" t="s">
        <v>115</v>
      </c>
      <c r="F18" s="5" t="s">
        <v>1405</v>
      </c>
      <c r="G18" s="25" t="str">
        <f aca="false">IF(COUNTIF($B$5:$B$300,B18)&gt;1,"⚠ مكرر","✔")</f>
        <v>✔</v>
      </c>
      <c r="H18" s="5"/>
    </row>
    <row r="19" customFormat="false" ht="15" hidden="false" customHeight="true" outlineLevel="0" collapsed="false">
      <c r="A19" s="5" t="n">
        <v>15</v>
      </c>
      <c r="B19" s="5" t="s">
        <v>1417</v>
      </c>
      <c r="C19" s="5" t="s">
        <v>195</v>
      </c>
      <c r="D19" s="5" t="s">
        <v>1404</v>
      </c>
      <c r="E19" s="5" t="s">
        <v>115</v>
      </c>
      <c r="F19" s="5" t="s">
        <v>1407</v>
      </c>
      <c r="G19" s="25" t="str">
        <f aca="false">IF(COUNTIF($B$5:$B$300,B19)&gt;1,"⚠ مكرر","✔")</f>
        <v>✔</v>
      </c>
      <c r="H19" s="5"/>
    </row>
    <row r="20" customFormat="false" ht="15" hidden="false" customHeight="true" outlineLevel="0" collapsed="false">
      <c r="A20" s="5" t="n">
        <v>16</v>
      </c>
      <c r="B20" s="5" t="s">
        <v>1418</v>
      </c>
      <c r="C20" s="5" t="s">
        <v>195</v>
      </c>
      <c r="D20" s="5" t="s">
        <v>1404</v>
      </c>
      <c r="E20" s="5" t="s">
        <v>115</v>
      </c>
      <c r="F20" s="5" t="s">
        <v>1407</v>
      </c>
      <c r="G20" s="25" t="str">
        <f aca="false">IF(COUNTIF($B$5:$B$300,B20)&gt;1,"⚠ مكرر","✔")</f>
        <v>✔</v>
      </c>
      <c r="H20" s="5"/>
    </row>
    <row r="21" customFormat="false" ht="15" hidden="false" customHeight="true" outlineLevel="0" collapsed="false">
      <c r="A21" s="5" t="n">
        <v>17</v>
      </c>
      <c r="B21" s="5" t="s">
        <v>1419</v>
      </c>
      <c r="C21" s="5" t="s">
        <v>195</v>
      </c>
      <c r="D21" s="5" t="s">
        <v>1404</v>
      </c>
      <c r="E21" s="5" t="s">
        <v>115</v>
      </c>
      <c r="F21" s="5" t="s">
        <v>1407</v>
      </c>
      <c r="G21" s="25" t="str">
        <f aca="false">IF(COUNTIF($B$5:$B$300,B21)&gt;1,"⚠ مكرر","✔")</f>
        <v>✔</v>
      </c>
      <c r="H21" s="5"/>
    </row>
    <row r="22" customFormat="false" ht="15" hidden="false" customHeight="true" outlineLevel="0" collapsed="false">
      <c r="A22" s="5" t="n">
        <v>18</v>
      </c>
      <c r="B22" s="5" t="s">
        <v>1420</v>
      </c>
      <c r="C22" s="5" t="s">
        <v>195</v>
      </c>
      <c r="D22" s="5" t="s">
        <v>1404</v>
      </c>
      <c r="E22" s="5" t="s">
        <v>115</v>
      </c>
      <c r="F22" s="5" t="s">
        <v>1407</v>
      </c>
      <c r="G22" s="25" t="str">
        <f aca="false">IF(COUNTIF($B$5:$B$300,B22)&gt;1,"⚠ مكرر","✔")</f>
        <v>✔</v>
      </c>
      <c r="H22" s="5"/>
    </row>
    <row r="23" customFormat="false" ht="15" hidden="false" customHeight="true" outlineLevel="0" collapsed="false">
      <c r="A23" s="5" t="n">
        <v>19</v>
      </c>
      <c r="B23" s="5" t="s">
        <v>1421</v>
      </c>
      <c r="C23" s="5" t="s">
        <v>195</v>
      </c>
      <c r="D23" s="5" t="s">
        <v>1404</v>
      </c>
      <c r="E23" s="5" t="s">
        <v>115</v>
      </c>
      <c r="F23" s="5" t="s">
        <v>1407</v>
      </c>
      <c r="G23" s="25" t="str">
        <f aca="false">IF(COUNTIF($B$5:$B$300,B23)&gt;1,"⚠ مكرر","✔")</f>
        <v>✔</v>
      </c>
      <c r="H23" s="5"/>
    </row>
    <row r="24" customFormat="false" ht="15" hidden="false" customHeight="true" outlineLevel="0" collapsed="false">
      <c r="A24" s="5" t="n">
        <v>20</v>
      </c>
      <c r="B24" s="5" t="s">
        <v>1422</v>
      </c>
      <c r="C24" s="5" t="s">
        <v>195</v>
      </c>
      <c r="D24" s="5" t="s">
        <v>1396</v>
      </c>
      <c r="E24" s="5" t="s">
        <v>115</v>
      </c>
      <c r="F24" s="5" t="s">
        <v>1397</v>
      </c>
      <c r="G24" s="25" t="str">
        <f aca="false">IF(COUNTIF($B$5:$B$300,B24)&gt;1,"⚠ مكرر","✔")</f>
        <v>✔</v>
      </c>
      <c r="H24" s="5" t="s">
        <v>1423</v>
      </c>
    </row>
    <row r="25" customFormat="false" ht="15" hidden="false" customHeight="true" outlineLevel="0" collapsed="false">
      <c r="A25" s="5" t="n">
        <v>21</v>
      </c>
      <c r="B25" s="5" t="s">
        <v>1424</v>
      </c>
      <c r="C25" s="5" t="s">
        <v>195</v>
      </c>
      <c r="D25" s="5" t="s">
        <v>1396</v>
      </c>
      <c r="E25" s="5" t="s">
        <v>115</v>
      </c>
      <c r="F25" s="5" t="s">
        <v>1397</v>
      </c>
      <c r="G25" s="25" t="str">
        <f aca="false">IF(COUNTIF($B$5:$B$300,B25)&gt;1,"⚠ مكرر","✔")</f>
        <v>✔</v>
      </c>
      <c r="H25" s="5" t="s">
        <v>1425</v>
      </c>
    </row>
    <row r="26" customFormat="false" ht="15" hidden="false" customHeight="true" outlineLevel="0" collapsed="false">
      <c r="A26" s="5" t="n">
        <v>22</v>
      </c>
      <c r="B26" s="5" t="s">
        <v>1426</v>
      </c>
      <c r="C26" s="5" t="s">
        <v>195</v>
      </c>
      <c r="D26" s="5" t="s">
        <v>1427</v>
      </c>
      <c r="E26" s="5" t="s">
        <v>115</v>
      </c>
      <c r="F26" s="5" t="s">
        <v>1405</v>
      </c>
      <c r="G26" s="25" t="str">
        <f aca="false">IF(COUNTIF($B$5:$B$300,B26)&gt;1,"⚠ مكرر","✔")</f>
        <v>✔</v>
      </c>
      <c r="H26" s="5" t="s">
        <v>1428</v>
      </c>
    </row>
    <row r="27" customFormat="false" ht="15" hidden="false" customHeight="true" outlineLevel="0" collapsed="false">
      <c r="A27" s="5" t="n">
        <v>23</v>
      </c>
      <c r="B27" s="5" t="s">
        <v>1429</v>
      </c>
      <c r="C27" s="5" t="s">
        <v>1430</v>
      </c>
      <c r="D27" s="5" t="s">
        <v>1431</v>
      </c>
      <c r="E27" s="5" t="s">
        <v>115</v>
      </c>
      <c r="F27" s="5" t="s">
        <v>1432</v>
      </c>
      <c r="G27" s="25" t="str">
        <f aca="false">IF(COUNTIF($B$5:$B$300,B27)&gt;1,"⚠ مكرر","✔")</f>
        <v>✔</v>
      </c>
      <c r="H27" s="5" t="s">
        <v>1433</v>
      </c>
    </row>
    <row r="28" customFormat="false" ht="15" hidden="false" customHeight="true" outlineLevel="0" collapsed="false">
      <c r="A28" s="5" t="n">
        <v>24</v>
      </c>
      <c r="B28" s="5" t="s">
        <v>1434</v>
      </c>
      <c r="C28" s="5" t="s">
        <v>206</v>
      </c>
      <c r="D28" s="5" t="s">
        <v>1435</v>
      </c>
      <c r="E28" s="5" t="s">
        <v>1436</v>
      </c>
      <c r="F28" s="5" t="s">
        <v>1405</v>
      </c>
      <c r="G28" s="25" t="str">
        <f aca="false">IF(COUNTIF($B$5:$B$300,B28)&gt;1,"⚠ مكرر","✔")</f>
        <v>✔</v>
      </c>
      <c r="H28" s="5" t="s">
        <v>1437</v>
      </c>
    </row>
    <row r="29" customFormat="false" ht="15" hidden="false" customHeight="true" outlineLevel="0" collapsed="false">
      <c r="A29" s="5" t="n">
        <v>25</v>
      </c>
      <c r="B29" s="5" t="s">
        <v>1438</v>
      </c>
      <c r="C29" s="5" t="s">
        <v>206</v>
      </c>
      <c r="D29" s="5" t="s">
        <v>1404</v>
      </c>
      <c r="E29" s="5" t="s">
        <v>195</v>
      </c>
      <c r="F29" s="5" t="s">
        <v>1405</v>
      </c>
      <c r="G29" s="25" t="str">
        <f aca="false">IF(COUNTIF($B$5:$B$300,B29)&gt;1,"⚠ مكرر","✔")</f>
        <v>✔</v>
      </c>
      <c r="H29" s="5" t="s">
        <v>1439</v>
      </c>
    </row>
    <row r="30" customFormat="false" ht="15" hidden="false" customHeight="true" outlineLevel="0" collapsed="false">
      <c r="A30" s="5" t="n">
        <v>26</v>
      </c>
      <c r="B30" s="5" t="s">
        <v>1440</v>
      </c>
      <c r="C30" s="5" t="s">
        <v>206</v>
      </c>
      <c r="D30" s="5" t="s">
        <v>1404</v>
      </c>
      <c r="E30" s="5" t="s">
        <v>195</v>
      </c>
      <c r="F30" s="5" t="s">
        <v>1407</v>
      </c>
      <c r="G30" s="25" t="str">
        <f aca="false">IF(COUNTIF($B$5:$B$300,B30)&gt;1,"⚠ مكرر","✔")</f>
        <v>✔</v>
      </c>
      <c r="H30" s="5"/>
    </row>
    <row r="31" customFormat="false" ht="15" hidden="false" customHeight="true" outlineLevel="0" collapsed="false">
      <c r="A31" s="5" t="n">
        <v>27</v>
      </c>
      <c r="B31" s="5" t="s">
        <v>1441</v>
      </c>
      <c r="C31" s="5" t="s">
        <v>206</v>
      </c>
      <c r="D31" s="5" t="s">
        <v>1404</v>
      </c>
      <c r="E31" s="5" t="s">
        <v>115</v>
      </c>
      <c r="F31" s="5" t="s">
        <v>1407</v>
      </c>
      <c r="G31" s="25" t="str">
        <f aca="false">IF(COUNTIF($B$5:$B$300,B31)&gt;1,"⚠ مكرر","✔")</f>
        <v>✔</v>
      </c>
      <c r="H31" s="5"/>
    </row>
    <row r="32" customFormat="false" ht="15" hidden="false" customHeight="true" outlineLevel="0" collapsed="false">
      <c r="A32" s="5" t="n">
        <v>28</v>
      </c>
      <c r="B32" s="5" t="s">
        <v>1442</v>
      </c>
      <c r="C32" s="5" t="s">
        <v>212</v>
      </c>
      <c r="D32" s="5" t="s">
        <v>1404</v>
      </c>
      <c r="E32" s="5" t="s">
        <v>195</v>
      </c>
      <c r="F32" s="5" t="s">
        <v>1407</v>
      </c>
      <c r="G32" s="25" t="str">
        <f aca="false">IF(COUNTIF($B$5:$B$300,B32)&gt;1,"⚠ مكرر","✔")</f>
        <v>✔</v>
      </c>
      <c r="H32" s="5"/>
    </row>
    <row r="33" customFormat="false" ht="15" hidden="false" customHeight="true" outlineLevel="0" collapsed="false">
      <c r="A33" s="5" t="n">
        <v>29</v>
      </c>
      <c r="B33" s="5" t="s">
        <v>1443</v>
      </c>
      <c r="C33" s="5" t="s">
        <v>212</v>
      </c>
      <c r="D33" s="5" t="s">
        <v>1404</v>
      </c>
      <c r="E33" s="5" t="s">
        <v>115</v>
      </c>
      <c r="F33" s="5" t="s">
        <v>1407</v>
      </c>
      <c r="G33" s="25" t="str">
        <f aca="false">IF(COUNTIF($B$5:$B$300,B33)&gt;1,"⚠ مكرر","✔")</f>
        <v>✔</v>
      </c>
      <c r="H33" s="5"/>
    </row>
    <row r="34" customFormat="false" ht="15" hidden="false" customHeight="true" outlineLevel="0" collapsed="false">
      <c r="A34" s="5" t="n">
        <v>30</v>
      </c>
      <c r="B34" s="5" t="s">
        <v>1444</v>
      </c>
      <c r="C34" s="5" t="s">
        <v>214</v>
      </c>
      <c r="D34" s="5" t="s">
        <v>1404</v>
      </c>
      <c r="E34" s="5" t="s">
        <v>195</v>
      </c>
      <c r="F34" s="5" t="s">
        <v>1407</v>
      </c>
      <c r="G34" s="25" t="str">
        <f aca="false">IF(COUNTIF($B$5:$B$300,B34)&gt;1,"⚠ مكرر","✔")</f>
        <v>✔</v>
      </c>
      <c r="H34" s="5"/>
    </row>
    <row r="35" customFormat="false" ht="15" hidden="false" customHeight="true" outlineLevel="0" collapsed="false">
      <c r="A35" s="5" t="n">
        <v>31</v>
      </c>
      <c r="B35" s="5" t="s">
        <v>1445</v>
      </c>
      <c r="C35" s="5" t="s">
        <v>216</v>
      </c>
      <c r="D35" s="5" t="s">
        <v>1404</v>
      </c>
      <c r="E35" s="5" t="s">
        <v>195</v>
      </c>
      <c r="F35" s="5" t="s">
        <v>1407</v>
      </c>
      <c r="G35" s="25" t="str">
        <f aca="false">IF(COUNTIF($B$5:$B$300,B35)&gt;1,"⚠ مكرر","✔")</f>
        <v>✔</v>
      </c>
      <c r="H35" s="5"/>
    </row>
    <row r="36" customFormat="false" ht="15" hidden="false" customHeight="true" outlineLevel="0" collapsed="false">
      <c r="A36" s="5" t="n">
        <v>32</v>
      </c>
      <c r="B36" s="5" t="s">
        <v>1446</v>
      </c>
      <c r="C36" s="5" t="s">
        <v>216</v>
      </c>
      <c r="D36" s="5" t="s">
        <v>1404</v>
      </c>
      <c r="E36" s="5" t="s">
        <v>195</v>
      </c>
      <c r="F36" s="5" t="s">
        <v>1407</v>
      </c>
      <c r="G36" s="25" t="str">
        <f aca="false">IF(COUNTIF($B$5:$B$300,B36)&gt;1,"⚠ مكرر","✔")</f>
        <v>✔</v>
      </c>
      <c r="H36" s="5"/>
    </row>
    <row r="37" customFormat="false" ht="15" hidden="false" customHeight="true" outlineLevel="0" collapsed="false">
      <c r="A37" s="5" t="n">
        <v>33</v>
      </c>
      <c r="B37" s="5" t="s">
        <v>1447</v>
      </c>
      <c r="C37" s="5" t="s">
        <v>216</v>
      </c>
      <c r="D37" s="5" t="s">
        <v>1404</v>
      </c>
      <c r="E37" s="5" t="s">
        <v>115</v>
      </c>
      <c r="F37" s="5" t="s">
        <v>1407</v>
      </c>
      <c r="G37" s="25" t="str">
        <f aca="false">IF(COUNTIF($B$5:$B$300,B37)&gt;1,"⚠ مكرر","✔")</f>
        <v>✔</v>
      </c>
      <c r="H37" s="5"/>
    </row>
    <row r="38" customFormat="false" ht="15" hidden="false" customHeight="true" outlineLevel="0" collapsed="false">
      <c r="A38" s="5" t="n">
        <v>34</v>
      </c>
      <c r="B38" s="5" t="s">
        <v>1448</v>
      </c>
      <c r="C38" s="5" t="s">
        <v>216</v>
      </c>
      <c r="D38" s="5" t="s">
        <v>1404</v>
      </c>
      <c r="E38" s="5" t="s">
        <v>195</v>
      </c>
      <c r="F38" s="5" t="s">
        <v>1407</v>
      </c>
      <c r="G38" s="25" t="str">
        <f aca="false">IF(COUNTIF($B$5:$B$300,B38)&gt;1,"⚠ مكرر","✔")</f>
        <v>✔</v>
      </c>
      <c r="H38" s="5"/>
    </row>
    <row r="39" customFormat="false" ht="15" hidden="false" customHeight="true" outlineLevel="0" collapsed="false">
      <c r="A39" s="5" t="n">
        <v>35</v>
      </c>
      <c r="B39" s="5" t="s">
        <v>1449</v>
      </c>
      <c r="C39" s="5" t="s">
        <v>218</v>
      </c>
      <c r="D39" s="5" t="s">
        <v>1404</v>
      </c>
      <c r="E39" s="5" t="s">
        <v>195</v>
      </c>
      <c r="F39" s="5" t="s">
        <v>1407</v>
      </c>
      <c r="G39" s="25" t="str">
        <f aca="false">IF(COUNTIF($B$5:$B$300,B39)&gt;1,"⚠ مكرر","✔")</f>
        <v>✔</v>
      </c>
      <c r="H39" s="5"/>
    </row>
    <row r="40" customFormat="false" ht="15" hidden="false" customHeight="true" outlineLevel="0" collapsed="false">
      <c r="A40" s="5" t="n">
        <v>36</v>
      </c>
      <c r="B40" s="5" t="s">
        <v>1450</v>
      </c>
      <c r="C40" s="5" t="s">
        <v>218</v>
      </c>
      <c r="D40" s="5" t="s">
        <v>1396</v>
      </c>
      <c r="E40" s="5" t="s">
        <v>115</v>
      </c>
      <c r="F40" s="5" t="s">
        <v>1407</v>
      </c>
      <c r="G40" s="25" t="str">
        <f aca="false">IF(COUNTIF($B$5:$B$300,B40)&gt;1,"⚠ مكرر","✔")</f>
        <v>✔</v>
      </c>
      <c r="H40" s="5" t="s">
        <v>1451</v>
      </c>
    </row>
    <row r="41" customFormat="false" ht="15" hidden="false" customHeight="true" outlineLevel="0" collapsed="false">
      <c r="A41" s="5" t="n">
        <v>37</v>
      </c>
      <c r="B41" s="5" t="s">
        <v>1452</v>
      </c>
      <c r="C41" s="5" t="s">
        <v>220</v>
      </c>
      <c r="D41" s="5" t="s">
        <v>1404</v>
      </c>
      <c r="E41" s="5" t="s">
        <v>195</v>
      </c>
      <c r="F41" s="5" t="s">
        <v>1405</v>
      </c>
      <c r="G41" s="25" t="str">
        <f aca="false">IF(COUNTIF($B$5:$B$300,B41)&gt;1,"⚠ مكرر","✔")</f>
        <v>✔</v>
      </c>
      <c r="H41" s="5"/>
    </row>
    <row r="42" customFormat="false" ht="15" hidden="false" customHeight="true" outlineLevel="0" collapsed="false">
      <c r="A42" s="5" t="n">
        <v>38</v>
      </c>
      <c r="B42" s="5" t="s">
        <v>1453</v>
      </c>
      <c r="C42" s="5" t="s">
        <v>220</v>
      </c>
      <c r="D42" s="5" t="s">
        <v>1396</v>
      </c>
      <c r="E42" s="5" t="s">
        <v>115</v>
      </c>
      <c r="F42" s="5" t="s">
        <v>1405</v>
      </c>
      <c r="G42" s="25" t="str">
        <f aca="false">IF(COUNTIF($B$5:$B$300,B42)&gt;1,"⚠ مكرر","✔")</f>
        <v>✔</v>
      </c>
      <c r="H42" s="5" t="s">
        <v>1454</v>
      </c>
    </row>
    <row r="43" customFormat="false" ht="15" hidden="false" customHeight="true" outlineLevel="0" collapsed="false">
      <c r="A43" s="5" t="n">
        <v>39</v>
      </c>
      <c r="B43" s="5" t="s">
        <v>1455</v>
      </c>
      <c r="C43" s="5" t="s">
        <v>220</v>
      </c>
      <c r="D43" s="5" t="s">
        <v>1404</v>
      </c>
      <c r="E43" s="5" t="s">
        <v>195</v>
      </c>
      <c r="F43" s="5" t="s">
        <v>1407</v>
      </c>
      <c r="G43" s="25" t="str">
        <f aca="false">IF(COUNTIF($B$5:$B$300,B43)&gt;1,"⚠ مكرر","✔")</f>
        <v>✔</v>
      </c>
      <c r="H43" s="5"/>
    </row>
    <row r="44" customFormat="false" ht="15" hidden="false" customHeight="true" outlineLevel="0" collapsed="false">
      <c r="A44" s="5" t="n">
        <v>40</v>
      </c>
      <c r="B44" s="5" t="s">
        <v>1456</v>
      </c>
      <c r="C44" s="5" t="s">
        <v>220</v>
      </c>
      <c r="D44" s="5" t="s">
        <v>1404</v>
      </c>
      <c r="E44" s="5" t="s">
        <v>115</v>
      </c>
      <c r="F44" s="5" t="s">
        <v>1407</v>
      </c>
      <c r="G44" s="25" t="str">
        <f aca="false">IF(COUNTIF($B$5:$B$300,B44)&gt;1,"⚠ مكرر","✔")</f>
        <v>✔</v>
      </c>
      <c r="H44" s="5"/>
    </row>
    <row r="45" customFormat="false" ht="15" hidden="false" customHeight="true" outlineLevel="0" collapsed="false">
      <c r="A45" s="5" t="n">
        <v>41</v>
      </c>
      <c r="B45" s="5" t="s">
        <v>1457</v>
      </c>
      <c r="C45" s="5" t="s">
        <v>222</v>
      </c>
      <c r="D45" s="5" t="s">
        <v>1404</v>
      </c>
      <c r="E45" s="5" t="s">
        <v>195</v>
      </c>
      <c r="F45" s="5" t="s">
        <v>1405</v>
      </c>
      <c r="G45" s="25" t="str">
        <f aca="false">IF(COUNTIF($B$5:$B$300,B45)&gt;1,"⚠ مكرر","✔")</f>
        <v>✔</v>
      </c>
      <c r="H45" s="5" t="s">
        <v>1458</v>
      </c>
    </row>
    <row r="46" customFormat="false" ht="15" hidden="false" customHeight="true" outlineLevel="0" collapsed="false">
      <c r="A46" s="5" t="n">
        <v>42</v>
      </c>
      <c r="B46" s="5" t="s">
        <v>1459</v>
      </c>
      <c r="C46" s="5" t="s">
        <v>222</v>
      </c>
      <c r="D46" s="5" t="s">
        <v>1404</v>
      </c>
      <c r="E46" s="5" t="s">
        <v>195</v>
      </c>
      <c r="F46" s="5" t="s">
        <v>1407</v>
      </c>
      <c r="G46" s="25" t="str">
        <f aca="false">IF(COUNTIF($B$5:$B$300,B46)&gt;1,"⚠ مكرر","✔")</f>
        <v>✔</v>
      </c>
      <c r="H46" s="5"/>
    </row>
    <row r="47" customFormat="false" ht="15" hidden="false" customHeight="true" outlineLevel="0" collapsed="false">
      <c r="A47" s="5" t="n">
        <v>43</v>
      </c>
      <c r="B47" s="5" t="s">
        <v>1460</v>
      </c>
      <c r="C47" s="5" t="s">
        <v>222</v>
      </c>
      <c r="D47" s="5" t="s">
        <v>1404</v>
      </c>
      <c r="E47" s="5" t="s">
        <v>195</v>
      </c>
      <c r="F47" s="5" t="s">
        <v>1407</v>
      </c>
      <c r="G47" s="25" t="str">
        <f aca="false">IF(COUNTIF($B$5:$B$300,B47)&gt;1,"⚠ مكرر","✔")</f>
        <v>✔</v>
      </c>
      <c r="H47" s="5"/>
    </row>
    <row r="48" customFormat="false" ht="15" hidden="false" customHeight="true" outlineLevel="0" collapsed="false">
      <c r="A48" s="5" t="n">
        <v>44</v>
      </c>
      <c r="B48" s="5" t="s">
        <v>1461</v>
      </c>
      <c r="C48" s="5" t="s">
        <v>222</v>
      </c>
      <c r="D48" s="5" t="s">
        <v>1404</v>
      </c>
      <c r="E48" s="5" t="s">
        <v>195</v>
      </c>
      <c r="F48" s="5" t="s">
        <v>1407</v>
      </c>
      <c r="G48" s="25" t="str">
        <f aca="false">IF(COUNTIF($B$5:$B$300,B48)&gt;1,"⚠ مكرر","✔")</f>
        <v>✔</v>
      </c>
      <c r="H48" s="5"/>
    </row>
    <row r="49" customFormat="false" ht="15" hidden="false" customHeight="true" outlineLevel="0" collapsed="false">
      <c r="A49" s="5" t="n">
        <v>45</v>
      </c>
      <c r="B49" s="5" t="s">
        <v>1462</v>
      </c>
      <c r="C49" s="5" t="s">
        <v>224</v>
      </c>
      <c r="D49" s="5" t="s">
        <v>1404</v>
      </c>
      <c r="E49" s="5" t="s">
        <v>195</v>
      </c>
      <c r="F49" s="5" t="s">
        <v>1407</v>
      </c>
      <c r="G49" s="25" t="str">
        <f aca="false">IF(COUNTIF($B$5:$B$300,B49)&gt;1,"⚠ مكرر","✔")</f>
        <v>✔</v>
      </c>
      <c r="H49" s="5"/>
    </row>
    <row r="50" customFormat="false" ht="15" hidden="false" customHeight="true" outlineLevel="0" collapsed="false">
      <c r="A50" s="5" t="n">
        <v>46</v>
      </c>
      <c r="B50" s="5" t="s">
        <v>1463</v>
      </c>
      <c r="C50" s="5" t="s">
        <v>224</v>
      </c>
      <c r="D50" s="5" t="s">
        <v>1404</v>
      </c>
      <c r="E50" s="5" t="s">
        <v>115</v>
      </c>
      <c r="F50" s="5" t="s">
        <v>1407</v>
      </c>
      <c r="G50" s="25" t="str">
        <f aca="false">IF(COUNTIF($B$5:$B$300,B50)&gt;1,"⚠ مكرر","✔")</f>
        <v>✔</v>
      </c>
      <c r="H50" s="5"/>
    </row>
    <row r="51" customFormat="false" ht="15" hidden="false" customHeight="true" outlineLevel="0" collapsed="false">
      <c r="A51" s="5" t="n">
        <v>47</v>
      </c>
      <c r="B51" s="5" t="s">
        <v>1464</v>
      </c>
      <c r="C51" s="5" t="s">
        <v>224</v>
      </c>
      <c r="D51" s="5" t="s">
        <v>1404</v>
      </c>
      <c r="E51" s="5" t="s">
        <v>195</v>
      </c>
      <c r="F51" s="5" t="s">
        <v>1407</v>
      </c>
      <c r="G51" s="25" t="str">
        <f aca="false">IF(COUNTIF($B$5:$B$300,B51)&gt;1,"⚠ مكرر","✔")</f>
        <v>✔</v>
      </c>
      <c r="H51" s="5"/>
    </row>
    <row r="52" customFormat="false" ht="15" hidden="false" customHeight="true" outlineLevel="0" collapsed="false">
      <c r="A52" s="5" t="n">
        <v>48</v>
      </c>
      <c r="B52" s="5" t="s">
        <v>1465</v>
      </c>
      <c r="C52" s="5" t="s">
        <v>226</v>
      </c>
      <c r="D52" s="5" t="s">
        <v>1404</v>
      </c>
      <c r="E52" s="5" t="s">
        <v>195</v>
      </c>
      <c r="F52" s="5" t="s">
        <v>1407</v>
      </c>
      <c r="G52" s="25" t="str">
        <f aca="false">IF(COUNTIF($B$5:$B$300,B52)&gt;1,"⚠ مكرر","✔")</f>
        <v>✔</v>
      </c>
      <c r="H52" s="5"/>
    </row>
    <row r="53" customFormat="false" ht="15" hidden="false" customHeight="true" outlineLevel="0" collapsed="false">
      <c r="A53" s="5" t="n">
        <v>49</v>
      </c>
      <c r="B53" s="5" t="s">
        <v>1466</v>
      </c>
      <c r="C53" s="5" t="s">
        <v>226</v>
      </c>
      <c r="D53" s="5" t="s">
        <v>1404</v>
      </c>
      <c r="E53" s="5" t="s">
        <v>115</v>
      </c>
      <c r="F53" s="5" t="s">
        <v>1407</v>
      </c>
      <c r="G53" s="25" t="str">
        <f aca="false">IF(COUNTIF($B$5:$B$300,B53)&gt;1,"⚠ مكرر","✔")</f>
        <v>✔</v>
      </c>
      <c r="H53" s="5"/>
    </row>
    <row r="54" customFormat="false" ht="15" hidden="false" customHeight="true" outlineLevel="0" collapsed="false">
      <c r="A54" s="5" t="n">
        <v>50</v>
      </c>
      <c r="B54" s="5" t="s">
        <v>1467</v>
      </c>
      <c r="C54" s="5" t="s">
        <v>228</v>
      </c>
      <c r="D54" s="5" t="s">
        <v>1404</v>
      </c>
      <c r="E54" s="5" t="s">
        <v>195</v>
      </c>
      <c r="F54" s="5" t="s">
        <v>1407</v>
      </c>
      <c r="G54" s="25" t="str">
        <f aca="false">IF(COUNTIF($B$5:$B$300,B54)&gt;1,"⚠ مكرر","✔")</f>
        <v>✔</v>
      </c>
      <c r="H54" s="5"/>
    </row>
    <row r="55" customFormat="false" ht="15" hidden="false" customHeight="true" outlineLevel="0" collapsed="false">
      <c r="A55" s="5" t="n">
        <v>51</v>
      </c>
      <c r="B55" s="5" t="s">
        <v>1468</v>
      </c>
      <c r="C55" s="5" t="s">
        <v>228</v>
      </c>
      <c r="D55" s="5" t="s">
        <v>1404</v>
      </c>
      <c r="E55" s="5" t="s">
        <v>115</v>
      </c>
      <c r="F55" s="5" t="s">
        <v>1407</v>
      </c>
      <c r="G55" s="25" t="str">
        <f aca="false">IF(COUNTIF($B$5:$B$300,B55)&gt;1,"⚠ مكرر","✔")</f>
        <v>✔</v>
      </c>
      <c r="H55" s="5"/>
    </row>
    <row r="56" customFormat="false" ht="15" hidden="false" customHeight="true" outlineLevel="0" collapsed="false">
      <c r="A56" s="5" t="n">
        <v>52</v>
      </c>
      <c r="B56" s="5" t="s">
        <v>1469</v>
      </c>
      <c r="C56" s="5" t="s">
        <v>228</v>
      </c>
      <c r="D56" s="5" t="s">
        <v>1396</v>
      </c>
      <c r="E56" s="5" t="s">
        <v>115</v>
      </c>
      <c r="F56" s="5" t="s">
        <v>1405</v>
      </c>
      <c r="G56" s="25" t="str">
        <f aca="false">IF(COUNTIF($B$5:$B$300,B56)&gt;1,"⚠ مكرر","✔")</f>
        <v>✔</v>
      </c>
      <c r="H56" s="5"/>
    </row>
    <row r="57" customFormat="false" ht="15" hidden="false" customHeight="true" outlineLevel="0" collapsed="false">
      <c r="A57" s="5" t="n">
        <v>53</v>
      </c>
      <c r="B57" s="5" t="s">
        <v>1470</v>
      </c>
      <c r="C57" s="5" t="s">
        <v>230</v>
      </c>
      <c r="D57" s="5" t="s">
        <v>1404</v>
      </c>
      <c r="E57" s="5" t="s">
        <v>195</v>
      </c>
      <c r="F57" s="5" t="s">
        <v>1407</v>
      </c>
      <c r="G57" s="25" t="str">
        <f aca="false">IF(COUNTIF($B$5:$B$300,B57)&gt;1,"⚠ مكرر","✔")</f>
        <v>✔</v>
      </c>
      <c r="H57" s="5"/>
    </row>
    <row r="58" customFormat="false" ht="15" hidden="false" customHeight="true" outlineLevel="0" collapsed="false">
      <c r="A58" s="5" t="n">
        <v>54</v>
      </c>
      <c r="B58" s="5" t="s">
        <v>1471</v>
      </c>
      <c r="C58" s="5" t="s">
        <v>230</v>
      </c>
      <c r="D58" s="5" t="s">
        <v>1404</v>
      </c>
      <c r="E58" s="5" t="s">
        <v>115</v>
      </c>
      <c r="F58" s="5" t="s">
        <v>1407</v>
      </c>
      <c r="G58" s="25" t="str">
        <f aca="false">IF(COUNTIF($B$5:$B$300,B58)&gt;1,"⚠ مكرر","✔")</f>
        <v>✔</v>
      </c>
      <c r="H58" s="5"/>
    </row>
    <row r="59" customFormat="false" ht="15" hidden="false" customHeight="true" outlineLevel="0" collapsed="false">
      <c r="A59" s="5" t="n">
        <v>55</v>
      </c>
      <c r="B59" s="5" t="s">
        <v>1472</v>
      </c>
      <c r="C59" s="5" t="s">
        <v>230</v>
      </c>
      <c r="D59" s="5" t="s">
        <v>1404</v>
      </c>
      <c r="E59" s="5" t="s">
        <v>195</v>
      </c>
      <c r="F59" s="5" t="s">
        <v>1407</v>
      </c>
      <c r="G59" s="25" t="str">
        <f aca="false">IF(COUNTIF($B$5:$B$300,B59)&gt;1,"⚠ مكرر","✔")</f>
        <v>✔</v>
      </c>
      <c r="H59" s="5"/>
    </row>
    <row r="60" customFormat="false" ht="15" hidden="false" customHeight="true" outlineLevel="0" collapsed="false">
      <c r="A60" s="5" t="n">
        <v>56</v>
      </c>
      <c r="B60" s="5" t="s">
        <v>1473</v>
      </c>
      <c r="C60" s="5" t="s">
        <v>232</v>
      </c>
      <c r="D60" s="5" t="s">
        <v>1404</v>
      </c>
      <c r="E60" s="5" t="s">
        <v>195</v>
      </c>
      <c r="F60" s="5" t="s">
        <v>1407</v>
      </c>
      <c r="G60" s="25" t="str">
        <f aca="false">IF(COUNTIF($B$5:$B$300,B60)&gt;1,"⚠ مكرر","✔")</f>
        <v>✔</v>
      </c>
      <c r="H60" s="5"/>
    </row>
    <row r="61" customFormat="false" ht="15" hidden="false" customHeight="true" outlineLevel="0" collapsed="false">
      <c r="A61" s="5" t="n">
        <v>57</v>
      </c>
      <c r="B61" s="5" t="s">
        <v>1474</v>
      </c>
      <c r="C61" s="5" t="s">
        <v>232</v>
      </c>
      <c r="D61" s="5" t="s">
        <v>1404</v>
      </c>
      <c r="E61" s="5" t="s">
        <v>115</v>
      </c>
      <c r="F61" s="5" t="s">
        <v>1407</v>
      </c>
      <c r="G61" s="25" t="str">
        <f aca="false">IF(COUNTIF($B$5:$B$300,B61)&gt;1,"⚠ مكرر","✔")</f>
        <v>✔</v>
      </c>
      <c r="H61" s="5"/>
    </row>
    <row r="62" customFormat="false" ht="15" hidden="false" customHeight="true" outlineLevel="0" collapsed="false">
      <c r="A62" s="5" t="n">
        <v>58</v>
      </c>
      <c r="B62" s="5" t="s">
        <v>1475</v>
      </c>
      <c r="C62" s="5" t="s">
        <v>234</v>
      </c>
      <c r="D62" s="5" t="s">
        <v>1404</v>
      </c>
      <c r="E62" s="5" t="s">
        <v>195</v>
      </c>
      <c r="F62" s="5" t="s">
        <v>1407</v>
      </c>
      <c r="G62" s="25" t="str">
        <f aca="false">IF(COUNTIF($B$5:$B$300,B62)&gt;1,"⚠ مكرر","✔")</f>
        <v>✔</v>
      </c>
      <c r="H62" s="5"/>
    </row>
    <row r="63" customFormat="false" ht="15" hidden="false" customHeight="true" outlineLevel="0" collapsed="false">
      <c r="A63" s="5" t="n">
        <v>59</v>
      </c>
      <c r="B63" s="5" t="s">
        <v>1476</v>
      </c>
      <c r="C63" s="5" t="s">
        <v>234</v>
      </c>
      <c r="D63" s="5" t="s">
        <v>1404</v>
      </c>
      <c r="E63" s="5" t="s">
        <v>115</v>
      </c>
      <c r="F63" s="5" t="s">
        <v>1407</v>
      </c>
      <c r="G63" s="25" t="str">
        <f aca="false">IF(COUNTIF($B$5:$B$300,B63)&gt;1,"⚠ مكرر","✔")</f>
        <v>✔</v>
      </c>
      <c r="H63" s="5"/>
    </row>
    <row r="64" customFormat="false" ht="15" hidden="false" customHeight="true" outlineLevel="0" collapsed="false">
      <c r="A64" s="5" t="n">
        <v>60</v>
      </c>
      <c r="B64" s="5" t="s">
        <v>1477</v>
      </c>
      <c r="C64" s="5" t="s">
        <v>236</v>
      </c>
      <c r="D64" s="5" t="s">
        <v>1404</v>
      </c>
      <c r="E64" s="5" t="s">
        <v>195</v>
      </c>
      <c r="F64" s="5" t="s">
        <v>1407</v>
      </c>
      <c r="G64" s="25" t="str">
        <f aca="false">IF(COUNTIF($B$5:$B$300,B64)&gt;1,"⚠ مكرر","✔")</f>
        <v>✔</v>
      </c>
      <c r="H64" s="5"/>
    </row>
    <row r="65" customFormat="false" ht="15" hidden="false" customHeight="true" outlineLevel="0" collapsed="false">
      <c r="A65" s="5" t="n">
        <v>61</v>
      </c>
      <c r="B65" s="5" t="s">
        <v>1478</v>
      </c>
      <c r="C65" s="5" t="s">
        <v>236</v>
      </c>
      <c r="D65" s="5" t="s">
        <v>1404</v>
      </c>
      <c r="E65" s="5" t="s">
        <v>115</v>
      </c>
      <c r="F65" s="5" t="s">
        <v>1407</v>
      </c>
      <c r="G65" s="25" t="str">
        <f aca="false">IF(COUNTIF($B$5:$B$300,B65)&gt;1,"⚠ مكرر","✔")</f>
        <v>✔</v>
      </c>
      <c r="H65" s="5"/>
    </row>
    <row r="66" customFormat="false" ht="15" hidden="false" customHeight="true" outlineLevel="0" collapsed="false">
      <c r="A66" s="5" t="n">
        <v>62</v>
      </c>
      <c r="B66" s="5" t="s">
        <v>1479</v>
      </c>
      <c r="C66" s="5" t="s">
        <v>238</v>
      </c>
      <c r="D66" s="5" t="s">
        <v>1396</v>
      </c>
      <c r="E66" s="5" t="s">
        <v>115</v>
      </c>
      <c r="F66" s="5" t="s">
        <v>1405</v>
      </c>
      <c r="G66" s="25" t="str">
        <f aca="false">IF(COUNTIF($B$5:$B$300,B66)&gt;1,"⚠ مكرر","✔")</f>
        <v>✔</v>
      </c>
      <c r="H66" s="5"/>
    </row>
    <row r="67" customFormat="false" ht="15" hidden="false" customHeight="true" outlineLevel="0" collapsed="false">
      <c r="A67" s="5" t="n">
        <v>63</v>
      </c>
      <c r="B67" s="5" t="s">
        <v>1480</v>
      </c>
      <c r="C67" s="5" t="s">
        <v>238</v>
      </c>
      <c r="D67" s="5" t="s">
        <v>1404</v>
      </c>
      <c r="E67" s="5" t="s">
        <v>115</v>
      </c>
      <c r="F67" s="5" t="s">
        <v>1407</v>
      </c>
      <c r="G67" s="25" t="str">
        <f aca="false">IF(COUNTIF($B$5:$B$300,B67)&gt;1,"⚠ مكرر","✔")</f>
        <v>✔</v>
      </c>
      <c r="H67" s="5"/>
    </row>
    <row r="68" customFormat="false" ht="15" hidden="false" customHeight="true" outlineLevel="0" collapsed="false">
      <c r="A68" s="5" t="n">
        <v>64</v>
      </c>
      <c r="B68" s="5" t="s">
        <v>1481</v>
      </c>
      <c r="C68" s="5" t="s">
        <v>238</v>
      </c>
      <c r="D68" s="5" t="s">
        <v>1396</v>
      </c>
      <c r="E68" s="5" t="s">
        <v>115</v>
      </c>
      <c r="F68" s="5" t="s">
        <v>1407</v>
      </c>
      <c r="G68" s="25" t="str">
        <f aca="false">IF(COUNTIF($B$5:$B$300,B68)&gt;1,"⚠ مكرر","✔")</f>
        <v>✔</v>
      </c>
      <c r="H68" s="5"/>
    </row>
    <row r="69" customFormat="false" ht="15" hidden="false" customHeight="true" outlineLevel="0" collapsed="false">
      <c r="A69" s="5" t="n">
        <v>65</v>
      </c>
      <c r="B69" s="5" t="s">
        <v>1482</v>
      </c>
      <c r="C69" s="5" t="s">
        <v>243</v>
      </c>
      <c r="D69" s="5" t="s">
        <v>1396</v>
      </c>
      <c r="E69" s="5" t="s">
        <v>115</v>
      </c>
      <c r="F69" s="5" t="s">
        <v>1407</v>
      </c>
      <c r="G69" s="25" t="str">
        <f aca="false">IF(COUNTIF($B$5:$B$300,B69)&gt;1,"⚠ مكرر","✔")</f>
        <v>✔</v>
      </c>
      <c r="H69" s="5"/>
    </row>
    <row r="70" customFormat="false" ht="15" hidden="false" customHeight="true" outlineLevel="0" collapsed="false">
      <c r="A70" s="5" t="n">
        <v>66</v>
      </c>
      <c r="B70" s="5" t="s">
        <v>1483</v>
      </c>
      <c r="C70" s="5" t="s">
        <v>243</v>
      </c>
      <c r="D70" s="5" t="s">
        <v>1396</v>
      </c>
      <c r="E70" s="5" t="s">
        <v>115</v>
      </c>
      <c r="F70" s="5" t="s">
        <v>1405</v>
      </c>
      <c r="G70" s="25" t="str">
        <f aca="false">IF(COUNTIF($B$5:$B$300,B70)&gt;1,"⚠ مكرر","✔")</f>
        <v>✔</v>
      </c>
      <c r="H70" s="5" t="s">
        <v>1484</v>
      </c>
    </row>
    <row r="71" customFormat="false" ht="15" hidden="false" customHeight="true" outlineLevel="0" collapsed="false">
      <c r="A71" s="5" t="n">
        <v>67</v>
      </c>
      <c r="B71" s="5" t="s">
        <v>1485</v>
      </c>
      <c r="C71" s="5" t="s">
        <v>243</v>
      </c>
      <c r="D71" s="5" t="s">
        <v>1404</v>
      </c>
      <c r="E71" s="5" t="s">
        <v>195</v>
      </c>
      <c r="F71" s="5" t="s">
        <v>1407</v>
      </c>
      <c r="G71" s="25" t="str">
        <f aca="false">IF(COUNTIF($B$5:$B$300,B71)&gt;1,"⚠ مكرر","✔")</f>
        <v>✔</v>
      </c>
      <c r="H71" s="5" t="s">
        <v>1486</v>
      </c>
    </row>
    <row r="72" customFormat="false" ht="15" hidden="false" customHeight="true" outlineLevel="0" collapsed="false">
      <c r="A72" s="5" t="n">
        <v>68</v>
      </c>
      <c r="B72" s="5" t="s">
        <v>1487</v>
      </c>
      <c r="C72" s="5" t="s">
        <v>243</v>
      </c>
      <c r="D72" s="5" t="s">
        <v>1404</v>
      </c>
      <c r="E72" s="5" t="s">
        <v>195</v>
      </c>
      <c r="F72" s="5" t="s">
        <v>1407</v>
      </c>
      <c r="G72" s="25" t="str">
        <f aca="false">IF(COUNTIF($B$5:$B$300,B72)&gt;1,"⚠ مكرر","✔")</f>
        <v>✔</v>
      </c>
      <c r="H72" s="5" t="s">
        <v>1488</v>
      </c>
    </row>
    <row r="73" customFormat="false" ht="15" hidden="false" customHeight="true" outlineLevel="0" collapsed="false">
      <c r="A73" s="5" t="n">
        <v>69</v>
      </c>
      <c r="B73" s="5" t="s">
        <v>1489</v>
      </c>
      <c r="C73" s="5" t="s">
        <v>243</v>
      </c>
      <c r="D73" s="5" t="s">
        <v>1404</v>
      </c>
      <c r="E73" s="5" t="s">
        <v>115</v>
      </c>
      <c r="F73" s="5" t="s">
        <v>1407</v>
      </c>
      <c r="G73" s="25" t="str">
        <f aca="false">IF(COUNTIF($B$5:$B$300,B73)&gt;1,"⚠ مكرر","✔")</f>
        <v>✔</v>
      </c>
      <c r="H73" s="5"/>
    </row>
    <row r="74" customFormat="false" ht="15" hidden="false" customHeight="true" outlineLevel="0" collapsed="false">
      <c r="A74" s="5" t="n">
        <v>70</v>
      </c>
      <c r="B74" s="5" t="s">
        <v>1490</v>
      </c>
      <c r="C74" s="5" t="s">
        <v>245</v>
      </c>
      <c r="D74" s="5" t="s">
        <v>1396</v>
      </c>
      <c r="E74" s="5" t="s">
        <v>115</v>
      </c>
      <c r="F74" s="5" t="s">
        <v>1407</v>
      </c>
      <c r="G74" s="25" t="str">
        <f aca="false">IF(COUNTIF($B$5:$B$300,B74)&gt;1,"⚠ مكرر","✔")</f>
        <v>✔</v>
      </c>
      <c r="H74" s="5"/>
    </row>
    <row r="75" customFormat="false" ht="15" hidden="false" customHeight="true" outlineLevel="0" collapsed="false">
      <c r="A75" s="5" t="n">
        <v>71</v>
      </c>
      <c r="B75" s="5" t="s">
        <v>1491</v>
      </c>
      <c r="C75" s="5" t="s">
        <v>245</v>
      </c>
      <c r="D75" s="5" t="s">
        <v>1404</v>
      </c>
      <c r="E75" s="5" t="s">
        <v>115</v>
      </c>
      <c r="F75" s="5" t="s">
        <v>1407</v>
      </c>
      <c r="G75" s="25" t="str">
        <f aca="false">IF(COUNTIF($B$5:$B$300,B75)&gt;1,"⚠ مكرر","✔")</f>
        <v>✔</v>
      </c>
      <c r="H75" s="5"/>
    </row>
    <row r="76" customFormat="false" ht="15" hidden="false" customHeight="true" outlineLevel="0" collapsed="false">
      <c r="A76" s="5" t="n">
        <v>72</v>
      </c>
      <c r="B76" s="5" t="s">
        <v>963</v>
      </c>
      <c r="C76" s="5" t="s">
        <v>250</v>
      </c>
      <c r="D76" s="5" t="s">
        <v>1404</v>
      </c>
      <c r="E76" s="5" t="s">
        <v>115</v>
      </c>
      <c r="F76" s="5" t="s">
        <v>1407</v>
      </c>
      <c r="G76" s="25" t="str">
        <f aca="false">IF(COUNTIF($B$5:$B$300,B76)&gt;1,"⚠ مكرر","✔")</f>
        <v>✔</v>
      </c>
      <c r="H76" s="5"/>
    </row>
    <row r="77" customFormat="false" ht="15" hidden="false" customHeight="true" outlineLevel="0" collapsed="false">
      <c r="A77" s="5" t="n">
        <v>73</v>
      </c>
      <c r="B77" s="5" t="s">
        <v>1492</v>
      </c>
      <c r="C77" s="5" t="s">
        <v>250</v>
      </c>
      <c r="D77" s="5" t="s">
        <v>1396</v>
      </c>
      <c r="E77" s="5" t="s">
        <v>115</v>
      </c>
      <c r="F77" s="5" t="s">
        <v>1405</v>
      </c>
      <c r="G77" s="25" t="str">
        <f aca="false">IF(COUNTIF($B$5:$B$300,B77)&gt;1,"⚠ مكرر","✔")</f>
        <v>✔</v>
      </c>
      <c r="H77" s="5"/>
    </row>
    <row r="78" customFormat="false" ht="15" hidden="false" customHeight="true" outlineLevel="0" collapsed="false">
      <c r="A78" s="5" t="n">
        <v>74</v>
      </c>
      <c r="B78" s="5" t="s">
        <v>1493</v>
      </c>
      <c r="C78" s="5" t="s">
        <v>250</v>
      </c>
      <c r="D78" s="5" t="s">
        <v>1396</v>
      </c>
      <c r="E78" s="5" t="s">
        <v>115</v>
      </c>
      <c r="F78" s="5" t="s">
        <v>1405</v>
      </c>
      <c r="G78" s="25" t="str">
        <f aca="false">IF(COUNTIF($B$5:$B$300,B78)&gt;1,"⚠ مكرر","✔")</f>
        <v>✔</v>
      </c>
      <c r="H78" s="5" t="s">
        <v>1494</v>
      </c>
    </row>
    <row r="79" customFormat="false" ht="15" hidden="false" customHeight="true" outlineLevel="0" collapsed="false">
      <c r="A79" s="5" t="n">
        <v>75</v>
      </c>
      <c r="B79" s="5" t="s">
        <v>1495</v>
      </c>
      <c r="C79" s="5" t="s">
        <v>250</v>
      </c>
      <c r="D79" s="5" t="s">
        <v>1396</v>
      </c>
      <c r="E79" s="5" t="s">
        <v>115</v>
      </c>
      <c r="F79" s="5" t="s">
        <v>1405</v>
      </c>
      <c r="G79" s="25" t="str">
        <f aca="false">IF(COUNTIF($B$5:$B$300,B79)&gt;1,"⚠ مكرر","✔")</f>
        <v>✔</v>
      </c>
      <c r="H79" s="5"/>
    </row>
    <row r="80" customFormat="false" ht="15" hidden="false" customHeight="true" outlineLevel="0" collapsed="false">
      <c r="A80" s="5" t="n">
        <v>76</v>
      </c>
      <c r="B80" s="5" t="s">
        <v>1496</v>
      </c>
      <c r="C80" s="5" t="s">
        <v>195</v>
      </c>
      <c r="D80" s="5" t="s">
        <v>1404</v>
      </c>
      <c r="E80" s="5" t="s">
        <v>115</v>
      </c>
      <c r="F80" s="5" t="s">
        <v>1407</v>
      </c>
      <c r="G80" s="25" t="str">
        <f aca="false">IF(COUNTIF($B$5:$B$300,B80)&gt;1,"⚠ مكرر","✔")</f>
        <v>✔</v>
      </c>
      <c r="H80" s="5" t="s">
        <v>1497</v>
      </c>
    </row>
    <row r="81" customFormat="false" ht="15" hidden="false" customHeight="true" outlineLevel="0" collapsed="false">
      <c r="A81" s="5" t="n">
        <v>77</v>
      </c>
      <c r="B81" s="5" t="s">
        <v>1498</v>
      </c>
      <c r="C81" s="5" t="s">
        <v>238</v>
      </c>
      <c r="D81" s="5" t="s">
        <v>1404</v>
      </c>
      <c r="E81" s="5" t="s">
        <v>115</v>
      </c>
      <c r="F81" s="5" t="s">
        <v>1407</v>
      </c>
      <c r="G81" s="25" t="str">
        <f aca="false">IF(COUNTIF($B$5:$B$300,B81)&gt;1,"⚠ مكرر","✔")</f>
        <v>✔</v>
      </c>
      <c r="H81" s="5" t="s">
        <v>1499</v>
      </c>
    </row>
    <row r="82" customFormat="false" ht="15" hidden="false" customHeight="true" outlineLevel="0" collapsed="false">
      <c r="A82" s="5" t="n">
        <v>78</v>
      </c>
      <c r="B82" s="5" t="s">
        <v>1500</v>
      </c>
      <c r="C82" s="5" t="s">
        <v>245</v>
      </c>
      <c r="D82" s="5" t="s">
        <v>1404</v>
      </c>
      <c r="E82" s="5" t="s">
        <v>115</v>
      </c>
      <c r="F82" s="5" t="s">
        <v>1407</v>
      </c>
      <c r="G82" s="25" t="str">
        <f aca="false">IF(COUNTIF($B$5:$B$300,B82)&gt;1,"⚠ مكرر","✔")</f>
        <v>✔</v>
      </c>
      <c r="H82" s="5" t="s">
        <v>1501</v>
      </c>
    </row>
    <row r="83" customFormat="false" ht="15" hidden="false" customHeight="true" outlineLevel="0" collapsed="false">
      <c r="A83" s="5" t="n">
        <v>79</v>
      </c>
      <c r="B83" s="5" t="s">
        <v>1502</v>
      </c>
      <c r="C83" s="5" t="s">
        <v>220</v>
      </c>
      <c r="D83" s="5" t="s">
        <v>1404</v>
      </c>
      <c r="E83" s="5" t="s">
        <v>115</v>
      </c>
      <c r="F83" s="5" t="s">
        <v>1407</v>
      </c>
      <c r="G83" s="25" t="str">
        <f aca="false">IF(COUNTIF($B$5:$B$300,B83)&gt;1,"⚠ مكرر","✔")</f>
        <v>✔</v>
      </c>
      <c r="H83" s="5" t="s">
        <v>1503</v>
      </c>
    </row>
    <row r="84" customFormat="false" ht="15" hidden="false" customHeight="true" outlineLevel="0" collapsed="false">
      <c r="A84" s="5" t="n">
        <v>80</v>
      </c>
      <c r="B84" s="5" t="s">
        <v>1504</v>
      </c>
      <c r="C84" s="5" t="s">
        <v>224</v>
      </c>
      <c r="D84" s="5" t="s">
        <v>1404</v>
      </c>
      <c r="E84" s="5" t="s">
        <v>115</v>
      </c>
      <c r="F84" s="5" t="s">
        <v>1407</v>
      </c>
      <c r="G84" s="25" t="str">
        <f aca="false">IF(COUNTIF($B$5:$B$300,B84)&gt;1,"⚠ مكرر","✔")</f>
        <v>✔</v>
      </c>
      <c r="H84" s="5" t="s">
        <v>1505</v>
      </c>
    </row>
    <row r="85" customFormat="false" ht="15" hidden="false" customHeight="true" outlineLevel="0" collapsed="false">
      <c r="A85" s="5" t="n">
        <v>81</v>
      </c>
      <c r="B85" s="5" t="s">
        <v>1506</v>
      </c>
      <c r="C85" s="5" t="s">
        <v>228</v>
      </c>
      <c r="D85" s="5" t="s">
        <v>1404</v>
      </c>
      <c r="E85" s="5" t="s">
        <v>115</v>
      </c>
      <c r="F85" s="5" t="s">
        <v>1407</v>
      </c>
      <c r="G85" s="25" t="str">
        <f aca="false">IF(COUNTIF($B$5:$B$300,B85)&gt;1,"⚠ مكرر","✔")</f>
        <v>✔</v>
      </c>
      <c r="H85" s="5" t="s">
        <v>1507</v>
      </c>
    </row>
    <row r="86" customFormat="false" ht="15" hidden="false" customHeight="true" outlineLevel="0" collapsed="false">
      <c r="A86" s="5" t="n">
        <v>82</v>
      </c>
      <c r="B86" s="5" t="s">
        <v>1508</v>
      </c>
      <c r="C86" s="5" t="s">
        <v>234</v>
      </c>
      <c r="D86" s="5" t="s">
        <v>1404</v>
      </c>
      <c r="E86" s="5" t="s">
        <v>115</v>
      </c>
      <c r="F86" s="5" t="s">
        <v>1407</v>
      </c>
      <c r="G86" s="25" t="str">
        <f aca="false">IF(COUNTIF($B$5:$B$300,B86)&gt;1,"⚠ مكرر","✔")</f>
        <v>✔</v>
      </c>
      <c r="H86" s="5" t="s">
        <v>1509</v>
      </c>
    </row>
    <row r="87" customFormat="false" ht="15" hidden="false" customHeight="true" outlineLevel="0" collapsed="false">
      <c r="A87" s="5" t="n">
        <v>83</v>
      </c>
      <c r="B87" s="5" t="s">
        <v>1510</v>
      </c>
      <c r="C87" s="5" t="s">
        <v>232</v>
      </c>
      <c r="D87" s="5" t="s">
        <v>1404</v>
      </c>
      <c r="E87" s="5" t="s">
        <v>115</v>
      </c>
      <c r="F87" s="5" t="s">
        <v>1407</v>
      </c>
      <c r="G87" s="25" t="str">
        <f aca="false">IF(COUNTIF($B$5:$B$300,B87)&gt;1,"⚠ مكرر","✔")</f>
        <v>✔</v>
      </c>
      <c r="H87" s="5" t="s">
        <v>1511</v>
      </c>
    </row>
    <row r="88" customFormat="false" ht="15" hidden="false" customHeight="true" outlineLevel="0" collapsed="false">
      <c r="A88" s="5" t="n">
        <v>84</v>
      </c>
      <c r="B88" s="5" t="s">
        <v>1512</v>
      </c>
      <c r="C88" s="5" t="s">
        <v>236</v>
      </c>
      <c r="D88" s="5" t="s">
        <v>1404</v>
      </c>
      <c r="E88" s="5" t="s">
        <v>115</v>
      </c>
      <c r="F88" s="5" t="s">
        <v>1407</v>
      </c>
      <c r="G88" s="25" t="str">
        <f aca="false">IF(COUNTIF($B$5:$B$300,B88)&gt;1,"⚠ مكرر","✔")</f>
        <v>✔</v>
      </c>
      <c r="H88" s="5" t="s">
        <v>1513</v>
      </c>
    </row>
    <row r="89" customFormat="false" ht="15" hidden="false" customHeight="true" outlineLevel="0" collapsed="false">
      <c r="A89" s="5" t="n">
        <v>85</v>
      </c>
      <c r="B89" s="5" t="s">
        <v>1514</v>
      </c>
      <c r="C89" s="5" t="s">
        <v>216</v>
      </c>
      <c r="D89" s="5" t="s">
        <v>1404</v>
      </c>
      <c r="E89" s="5" t="s">
        <v>115</v>
      </c>
      <c r="F89" s="5" t="s">
        <v>1407</v>
      </c>
      <c r="G89" s="25" t="str">
        <f aca="false">IF(COUNTIF($B$5:$B$300,B89)&gt;1,"⚠ مكرر","✔")</f>
        <v>✔</v>
      </c>
      <c r="H89" s="5" t="s">
        <v>1515</v>
      </c>
    </row>
    <row r="90" customFormat="false" ht="15" hidden="false" customHeight="true" outlineLevel="0" collapsed="false">
      <c r="A90" s="5" t="n">
        <v>86</v>
      </c>
      <c r="B90" s="5" t="s">
        <v>1516</v>
      </c>
      <c r="C90" s="5" t="s">
        <v>212</v>
      </c>
      <c r="D90" s="5" t="s">
        <v>1404</v>
      </c>
      <c r="E90" s="5" t="s">
        <v>115</v>
      </c>
      <c r="F90" s="5" t="s">
        <v>1407</v>
      </c>
      <c r="G90" s="25" t="str">
        <f aca="false">IF(COUNTIF($B$5:$B$300,B90)&gt;1,"⚠ مكرر","✔")</f>
        <v>✔</v>
      </c>
      <c r="H90" s="5" t="s">
        <v>1517</v>
      </c>
    </row>
    <row r="91" customFormat="false" ht="15" hidden="false" customHeight="true" outlineLevel="0" collapsed="false">
      <c r="A91" s="5" t="n">
        <v>87</v>
      </c>
      <c r="B91" s="5" t="s">
        <v>1518</v>
      </c>
      <c r="C91" s="5" t="s">
        <v>226</v>
      </c>
      <c r="D91" s="5" t="s">
        <v>1404</v>
      </c>
      <c r="E91" s="5" t="s">
        <v>115</v>
      </c>
      <c r="F91" s="5" t="s">
        <v>1407</v>
      </c>
      <c r="G91" s="25" t="str">
        <f aca="false">IF(COUNTIF($B$5:$B$300,B91)&gt;1,"⚠ مكرر","✔")</f>
        <v>✔</v>
      </c>
      <c r="H91" s="5" t="s">
        <v>1519</v>
      </c>
    </row>
    <row r="92" customFormat="false" ht="15" hidden="false" customHeight="true" outlineLevel="0" collapsed="false">
      <c r="A92" s="5" t="n">
        <v>88</v>
      </c>
      <c r="B92" s="5" t="s">
        <v>1520</v>
      </c>
      <c r="C92" s="5" t="s">
        <v>222</v>
      </c>
      <c r="D92" s="5" t="s">
        <v>1404</v>
      </c>
      <c r="E92" s="5" t="s">
        <v>115</v>
      </c>
      <c r="F92" s="5" t="s">
        <v>1407</v>
      </c>
      <c r="G92" s="25" t="str">
        <f aca="false">IF(COUNTIF($B$5:$B$300,B92)&gt;1,"⚠ مكرر","✔")</f>
        <v>✔</v>
      </c>
      <c r="H92" s="5" t="s">
        <v>1521</v>
      </c>
    </row>
    <row r="93" customFormat="false" ht="23.25" hidden="false" customHeight="true" outlineLevel="0" collapsed="false">
      <c r="A93" s="5" t="n">
        <v>89</v>
      </c>
      <c r="B93" s="5" t="s">
        <v>1522</v>
      </c>
      <c r="C93" s="5" t="s">
        <v>201</v>
      </c>
      <c r="D93" s="5" t="s">
        <v>1404</v>
      </c>
      <c r="E93" s="5" t="s">
        <v>115</v>
      </c>
      <c r="F93" s="5" t="s">
        <v>1405</v>
      </c>
      <c r="G93" s="25" t="str">
        <f aca="false">IF(COUNTIF($B$5:$B$300,B93)&gt;1,"⚠ مكرر","✔")</f>
        <v>✔</v>
      </c>
      <c r="H93" s="5" t="s">
        <v>1523</v>
      </c>
    </row>
    <row r="94" customFormat="false" ht="15" hidden="false" customHeight="true" outlineLevel="0" collapsed="false">
      <c r="A94" s="5" t="n">
        <v>90</v>
      </c>
      <c r="B94" s="5" t="s">
        <v>1524</v>
      </c>
      <c r="C94" s="5" t="s">
        <v>206</v>
      </c>
      <c r="D94" s="5" t="s">
        <v>1404</v>
      </c>
      <c r="E94" s="5" t="s">
        <v>115</v>
      </c>
      <c r="F94" s="5" t="s">
        <v>1407</v>
      </c>
      <c r="G94" s="25" t="str">
        <f aca="false">IF(COUNTIF($B$5:$B$300,B94)&gt;1,"⚠ مكرر","✔")</f>
        <v>✔</v>
      </c>
      <c r="H94" s="5" t="s">
        <v>1525</v>
      </c>
    </row>
    <row r="95" customFormat="false" ht="15" hidden="false" customHeight="true" outlineLevel="0" collapsed="false">
      <c r="A95" s="5" t="n">
        <v>91</v>
      </c>
      <c r="B95" s="5" t="s">
        <v>1526</v>
      </c>
      <c r="C95" s="5" t="s">
        <v>212</v>
      </c>
      <c r="D95" s="5" t="s">
        <v>1404</v>
      </c>
      <c r="E95" s="5" t="s">
        <v>115</v>
      </c>
      <c r="F95" s="5" t="s">
        <v>1407</v>
      </c>
      <c r="G95" s="25" t="str">
        <f aca="false">IF(COUNTIF($B$5:$B$300,B95)&gt;1,"⚠ مكرر","✔")</f>
        <v>✔</v>
      </c>
      <c r="H95" s="5" t="s">
        <v>1527</v>
      </c>
    </row>
    <row r="96" customFormat="false" ht="15" hidden="false" customHeight="true" outlineLevel="0" collapsed="false">
      <c r="A96" s="5" t="n">
        <v>92</v>
      </c>
      <c r="B96" s="5" t="s">
        <v>1528</v>
      </c>
      <c r="C96" s="5" t="s">
        <v>216</v>
      </c>
      <c r="D96" s="5" t="s">
        <v>1404</v>
      </c>
      <c r="E96" s="5" t="s">
        <v>115</v>
      </c>
      <c r="F96" s="5" t="s">
        <v>1407</v>
      </c>
      <c r="G96" s="25" t="str">
        <f aca="false">IF(COUNTIF($B$5:$B$300,B96)&gt;1,"⚠ مكرر","✔")</f>
        <v>✔</v>
      </c>
      <c r="H96" s="5" t="s">
        <v>1529</v>
      </c>
    </row>
    <row r="97" customFormat="false" ht="15" hidden="false" customHeight="true" outlineLevel="0" collapsed="false">
      <c r="A97" s="5" t="n">
        <v>93</v>
      </c>
      <c r="B97" s="5" t="s">
        <v>1530</v>
      </c>
      <c r="C97" s="5" t="s">
        <v>216</v>
      </c>
      <c r="D97" s="5" t="s">
        <v>1404</v>
      </c>
      <c r="E97" s="5" t="s">
        <v>115</v>
      </c>
      <c r="F97" s="5" t="s">
        <v>1407</v>
      </c>
      <c r="G97" s="25" t="str">
        <f aca="false">IF(COUNTIF($B$5:$B$300,B97)&gt;1,"⚠ مكرر","✔")</f>
        <v>✔</v>
      </c>
      <c r="H97" s="5" t="s">
        <v>1531</v>
      </c>
    </row>
    <row r="98" customFormat="false" ht="15" hidden="false" customHeight="true" outlineLevel="0" collapsed="false">
      <c r="A98" s="5" t="n">
        <v>94</v>
      </c>
      <c r="B98" s="5" t="s">
        <v>1532</v>
      </c>
      <c r="C98" s="5" t="s">
        <v>216</v>
      </c>
      <c r="D98" s="5" t="s">
        <v>1404</v>
      </c>
      <c r="E98" s="5" t="s">
        <v>115</v>
      </c>
      <c r="F98" s="5" t="s">
        <v>1407</v>
      </c>
      <c r="G98" s="25" t="str">
        <f aca="false">IF(COUNTIF($B$5:$B$300,B98)&gt;1,"⚠ مكرر","✔")</f>
        <v>✔</v>
      </c>
      <c r="H98" s="5"/>
    </row>
    <row r="99" customFormat="false" ht="15" hidden="false" customHeight="true" outlineLevel="0" collapsed="false">
      <c r="A99" s="5" t="n">
        <v>95</v>
      </c>
      <c r="B99" s="5" t="s">
        <v>1533</v>
      </c>
      <c r="C99" s="5" t="s">
        <v>218</v>
      </c>
      <c r="D99" s="5" t="s">
        <v>1404</v>
      </c>
      <c r="E99" s="5" t="s">
        <v>115</v>
      </c>
      <c r="F99" s="5" t="s">
        <v>1407</v>
      </c>
      <c r="G99" s="25" t="str">
        <f aca="false">IF(COUNTIF($B$5:$B$300,B99)&gt;1,"⚠ مكرر","✔")</f>
        <v>✔</v>
      </c>
      <c r="H99" s="5" t="s">
        <v>1534</v>
      </c>
    </row>
    <row r="100" customFormat="false" ht="15" hidden="false" customHeight="true" outlineLevel="0" collapsed="false">
      <c r="A100" s="5" t="n">
        <v>96</v>
      </c>
      <c r="B100" s="5" t="s">
        <v>1535</v>
      </c>
      <c r="C100" s="5" t="s">
        <v>218</v>
      </c>
      <c r="D100" s="5" t="s">
        <v>1404</v>
      </c>
      <c r="E100" s="5" t="s">
        <v>115</v>
      </c>
      <c r="F100" s="5" t="s">
        <v>1407</v>
      </c>
      <c r="G100" s="25" t="str">
        <f aca="false">IF(COUNTIF($B$5:$B$300,B100)&gt;1,"⚠ مكرر","✔")</f>
        <v>✔</v>
      </c>
      <c r="H100" s="5" t="s">
        <v>1536</v>
      </c>
    </row>
    <row r="101" customFormat="false" ht="15" hidden="false" customHeight="true" outlineLevel="0" collapsed="false">
      <c r="A101" s="5" t="n">
        <v>97</v>
      </c>
      <c r="B101" s="5" t="s">
        <v>1537</v>
      </c>
      <c r="C101" s="5" t="s">
        <v>218</v>
      </c>
      <c r="D101" s="5" t="s">
        <v>1404</v>
      </c>
      <c r="E101" s="5" t="s">
        <v>115</v>
      </c>
      <c r="F101" s="5" t="s">
        <v>1407</v>
      </c>
      <c r="G101" s="25" t="str">
        <f aca="false">IF(COUNTIF($B$5:$B$300,B101)&gt;1,"⚠ مكرر","✔")</f>
        <v>✔</v>
      </c>
      <c r="H101" s="5" t="s">
        <v>1538</v>
      </c>
    </row>
    <row r="102" customFormat="false" ht="15" hidden="false" customHeight="true" outlineLevel="0" collapsed="false">
      <c r="A102" s="5" t="n">
        <v>98</v>
      </c>
      <c r="B102" s="5" t="s">
        <v>1539</v>
      </c>
      <c r="C102" s="5" t="s">
        <v>218</v>
      </c>
      <c r="D102" s="5" t="s">
        <v>1404</v>
      </c>
      <c r="E102" s="5" t="s">
        <v>115</v>
      </c>
      <c r="F102" s="5" t="s">
        <v>1407</v>
      </c>
      <c r="G102" s="25" t="str">
        <f aca="false">IF(COUNTIF($B$5:$B$300,B102)&gt;1,"⚠ مكرر","✔")</f>
        <v>✔</v>
      </c>
      <c r="H102" s="5"/>
    </row>
    <row r="103" customFormat="false" ht="15" hidden="false" customHeight="true" outlineLevel="0" collapsed="false">
      <c r="A103" s="5" t="n">
        <v>99</v>
      </c>
      <c r="B103" s="5" t="s">
        <v>1540</v>
      </c>
      <c r="C103" s="5" t="s">
        <v>1541</v>
      </c>
      <c r="D103" s="5" t="s">
        <v>1542</v>
      </c>
      <c r="E103" s="5" t="s">
        <v>115</v>
      </c>
      <c r="F103" s="5" t="s">
        <v>115</v>
      </c>
      <c r="G103" s="25" t="str">
        <f aca="false">IF(COUNTIF($B$5:$B$300,B103)&gt;1,"⚠ مكرر","✔")</f>
        <v>✔</v>
      </c>
      <c r="H103" s="5" t="s">
        <v>1543</v>
      </c>
    </row>
    <row r="104" customFormat="false" ht="15" hidden="false" customHeight="true" outlineLevel="0" collapsed="false">
      <c r="A104" s="5" t="n">
        <v>100</v>
      </c>
      <c r="B104" s="5" t="s">
        <v>1544</v>
      </c>
      <c r="C104" s="5" t="s">
        <v>1541</v>
      </c>
      <c r="D104" s="5" t="s">
        <v>1542</v>
      </c>
      <c r="E104" s="5" t="s">
        <v>115</v>
      </c>
      <c r="F104" s="5" t="s">
        <v>115</v>
      </c>
      <c r="G104" s="25" t="str">
        <f aca="false">IF(COUNTIF($B$5:$B$300,B104)&gt;1,"⚠ مكرر","✔")</f>
        <v>✔</v>
      </c>
      <c r="H104" s="5" t="s">
        <v>1545</v>
      </c>
    </row>
    <row r="105" customFormat="false" ht="15" hidden="false" customHeight="true" outlineLevel="0" collapsed="false">
      <c r="A105" s="5" t="n">
        <v>101</v>
      </c>
      <c r="B105" s="5" t="s">
        <v>1546</v>
      </c>
      <c r="C105" s="5" t="s">
        <v>1541</v>
      </c>
      <c r="D105" s="5" t="s">
        <v>1542</v>
      </c>
      <c r="E105" s="5" t="s">
        <v>115</v>
      </c>
      <c r="F105" s="5" t="s">
        <v>115</v>
      </c>
      <c r="G105" s="25" t="str">
        <f aca="false">IF(COUNTIF($B$5:$B$300,B105)&gt;1,"⚠ مكرر","✔")</f>
        <v>✔</v>
      </c>
      <c r="H105" s="5" t="s">
        <v>1547</v>
      </c>
    </row>
    <row r="106" customFormat="false" ht="15" hidden="false" customHeight="true" outlineLevel="0" collapsed="false">
      <c r="A106" s="5" t="n">
        <v>102</v>
      </c>
      <c r="B106" s="5" t="s">
        <v>1548</v>
      </c>
      <c r="C106" s="5" t="s">
        <v>1541</v>
      </c>
      <c r="D106" s="5" t="s">
        <v>1542</v>
      </c>
      <c r="E106" s="5" t="s">
        <v>115</v>
      </c>
      <c r="F106" s="5" t="s">
        <v>115</v>
      </c>
      <c r="G106" s="25" t="str">
        <f aca="false">IF(COUNTIF($B$5:$B$300,B106)&gt;1,"⚠ مكرر","✔")</f>
        <v>✔</v>
      </c>
      <c r="H106" s="5" t="s">
        <v>1549</v>
      </c>
    </row>
    <row r="107" customFormat="false" ht="15" hidden="false" customHeight="true" outlineLevel="0" collapsed="false">
      <c r="A107" s="5" t="n">
        <v>103</v>
      </c>
      <c r="B107" s="5" t="s">
        <v>1550</v>
      </c>
      <c r="C107" s="5" t="s">
        <v>1541</v>
      </c>
      <c r="D107" s="5" t="s">
        <v>1542</v>
      </c>
      <c r="E107" s="5" t="s">
        <v>115</v>
      </c>
      <c r="F107" s="5" t="s">
        <v>115</v>
      </c>
      <c r="G107" s="25" t="str">
        <f aca="false">IF(COUNTIF($B$5:$B$300,B107)&gt;1,"⚠ مكرر","✔")</f>
        <v>✔</v>
      </c>
      <c r="H107" s="5" t="s">
        <v>1551</v>
      </c>
    </row>
    <row r="108" customFormat="false" ht="15" hidden="false" customHeight="true" outlineLevel="0" collapsed="false">
      <c r="A108" s="5" t="n">
        <v>104</v>
      </c>
      <c r="B108" s="5" t="s">
        <v>1552</v>
      </c>
      <c r="C108" s="5" t="s">
        <v>1541</v>
      </c>
      <c r="D108" s="5" t="s">
        <v>1542</v>
      </c>
      <c r="E108" s="5" t="s">
        <v>115</v>
      </c>
      <c r="F108" s="5" t="s">
        <v>115</v>
      </c>
      <c r="G108" s="25" t="str">
        <f aca="false">IF(COUNTIF($B$5:$B$300,B108)&gt;1,"⚠ مكرر","✔")</f>
        <v>✔</v>
      </c>
      <c r="H108" s="5" t="s">
        <v>1553</v>
      </c>
    </row>
    <row r="109" customFormat="false" ht="15" hidden="false" customHeight="true" outlineLevel="0" collapsed="false">
      <c r="A109" s="5" t="n">
        <v>105</v>
      </c>
      <c r="B109" s="5" t="s">
        <v>1554</v>
      </c>
      <c r="C109" s="5" t="s">
        <v>1541</v>
      </c>
      <c r="D109" s="5" t="s">
        <v>1542</v>
      </c>
      <c r="E109" s="5" t="s">
        <v>115</v>
      </c>
      <c r="F109" s="5" t="s">
        <v>115</v>
      </c>
      <c r="G109" s="25" t="str">
        <f aca="false">IF(COUNTIF($B$5:$B$300,B109)&gt;1,"⚠ مكرر","✔")</f>
        <v>✔</v>
      </c>
      <c r="H109" s="5" t="s">
        <v>1551</v>
      </c>
    </row>
    <row r="110" customFormat="false" ht="15" hidden="false" customHeight="true" outlineLevel="0" collapsed="false">
      <c r="A110" s="5" t="n">
        <v>106</v>
      </c>
      <c r="B110" s="5" t="s">
        <v>1555</v>
      </c>
      <c r="C110" s="5" t="s">
        <v>1541</v>
      </c>
      <c r="D110" s="5" t="s">
        <v>1542</v>
      </c>
      <c r="E110" s="5" t="s">
        <v>115</v>
      </c>
      <c r="F110" s="5" t="s">
        <v>115</v>
      </c>
      <c r="G110" s="25" t="str">
        <f aca="false">IF(COUNTIF($B$5:$B$300,B110)&gt;1,"⚠ مكرر","✔")</f>
        <v>✔</v>
      </c>
      <c r="H110" s="5" t="s">
        <v>1556</v>
      </c>
    </row>
    <row r="111" customFormat="false" ht="15" hidden="false" customHeight="true" outlineLevel="0" collapsed="false">
      <c r="A111" s="5" t="n">
        <v>107</v>
      </c>
      <c r="B111" s="5" t="s">
        <v>1557</v>
      </c>
      <c r="C111" s="5" t="s">
        <v>1541</v>
      </c>
      <c r="D111" s="5" t="s">
        <v>1542</v>
      </c>
      <c r="E111" s="5" t="s">
        <v>115</v>
      </c>
      <c r="F111" s="5" t="s">
        <v>115</v>
      </c>
      <c r="G111" s="25" t="str">
        <f aca="false">IF(COUNTIF($B$5:$B$300,B111)&gt;1,"⚠ مكرر","✔")</f>
        <v>✔</v>
      </c>
      <c r="H111" s="5" t="s">
        <v>1558</v>
      </c>
    </row>
    <row r="112" customFormat="false" ht="15" hidden="false" customHeight="true" outlineLevel="0" collapsed="false">
      <c r="A112" s="5" t="n">
        <v>108</v>
      </c>
      <c r="B112" s="5" t="s">
        <v>1559</v>
      </c>
      <c r="C112" s="5" t="s">
        <v>1541</v>
      </c>
      <c r="D112" s="5" t="s">
        <v>1542</v>
      </c>
      <c r="E112" s="5" t="s">
        <v>115</v>
      </c>
      <c r="F112" s="5" t="s">
        <v>115</v>
      </c>
      <c r="G112" s="25" t="str">
        <f aca="false">IF(COUNTIF($B$5:$B$300,B112)&gt;1,"⚠ مكرر","✔")</f>
        <v>✔</v>
      </c>
      <c r="H112" s="5" t="s">
        <v>1560</v>
      </c>
    </row>
    <row r="113" customFormat="false" ht="15" hidden="false" customHeight="true" outlineLevel="0" collapsed="false">
      <c r="A113" s="5" t="n">
        <v>109</v>
      </c>
      <c r="B113" s="5" t="s">
        <v>1561</v>
      </c>
      <c r="C113" s="5" t="s">
        <v>1541</v>
      </c>
      <c r="D113" s="5" t="s">
        <v>1542</v>
      </c>
      <c r="E113" s="5" t="s">
        <v>115</v>
      </c>
      <c r="F113" s="5" t="s">
        <v>115</v>
      </c>
      <c r="G113" s="25" t="str">
        <f aca="false">IF(COUNTIF($B$5:$B$300,B113)&gt;1,"⚠ مكرر","✔")</f>
        <v>✔</v>
      </c>
      <c r="H113" s="5" t="s">
        <v>1562</v>
      </c>
    </row>
    <row r="114" customFormat="false" ht="15" hidden="false" customHeight="true" outlineLevel="0" collapsed="false">
      <c r="A114" s="5" t="n">
        <v>110</v>
      </c>
      <c r="B114" s="5" t="s">
        <v>1563</v>
      </c>
      <c r="C114" s="5" t="s">
        <v>1541</v>
      </c>
      <c r="D114" s="5" t="s">
        <v>1542</v>
      </c>
      <c r="E114" s="5" t="s">
        <v>115</v>
      </c>
      <c r="F114" s="5" t="s">
        <v>115</v>
      </c>
      <c r="G114" s="25" t="str">
        <f aca="false">IF(COUNTIF($B$5:$B$300,B114)&gt;1,"⚠ مكرر","✔")</f>
        <v>✔</v>
      </c>
      <c r="H114" s="5" t="s">
        <v>1564</v>
      </c>
    </row>
  </sheetData>
  <autoFilter ref="A4:H114"/>
  <conditionalFormatting sqref="G5:G300">
    <cfRule type="cellIs" priority="2" operator="equal" aboveAverage="0" equalAverage="0" bottom="0" percent="0" rank="0" text="" dxfId="0">
      <formula>"⚠ مكرر"</formula>
    </cfRule>
  </conditionalFormatting>
  <conditionalFormatting sqref="F5:F300">
    <cfRule type="cellIs" priority="3" operator="equal" aboveAverage="0" equalAverage="0" bottom="0" percent="0" rank="0" text="" dxfId="2">
      <formula>"عالٍ"</formula>
    </cfRule>
    <cfRule type="cellIs" priority="4" operator="equal" aboveAverage="0" equalAverage="0" bottom="0" percent="0" rank="0" text="" dxfId="0">
      <formula>"عالٍ جدًا"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0"/>
    <col collapsed="false" customWidth="true" hidden="false" outlineLevel="0" max="3" min="3" style="1" width="52"/>
    <col collapsed="false" customWidth="true" hidden="false" outlineLevel="0" max="4" min="4" style="1" width="62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8" hidden="false" customHeight="true" outlineLevel="0" collapsed="false">
      <c r="A1" s="2" t="s">
        <v>1565</v>
      </c>
    </row>
    <row r="2" customFormat="false" ht="15" hidden="false" customHeight="true" outlineLevel="0" collapsed="false">
      <c r="A2" s="7" t="s">
        <v>1566</v>
      </c>
    </row>
    <row r="4" customFormat="false" ht="31.5" hidden="false" customHeight="true" outlineLevel="0" collapsed="false">
      <c r="A4" s="16" t="s">
        <v>382</v>
      </c>
      <c r="B4" s="16" t="s">
        <v>68</v>
      </c>
      <c r="C4" s="16" t="s">
        <v>1567</v>
      </c>
      <c r="D4" s="16" t="s">
        <v>1568</v>
      </c>
      <c r="E4" s="16" t="s">
        <v>1390</v>
      </c>
      <c r="F4" s="16" t="s">
        <v>1569</v>
      </c>
      <c r="G4" s="16" t="s">
        <v>85</v>
      </c>
    </row>
    <row r="5" customFormat="false" ht="34.5" hidden="false" customHeight="true" outlineLevel="0" collapsed="false">
      <c r="A5" s="17" t="s">
        <v>1570</v>
      </c>
      <c r="B5" s="5" t="s">
        <v>1571</v>
      </c>
      <c r="C5" s="5" t="s">
        <v>1572</v>
      </c>
      <c r="D5" s="5" t="s">
        <v>1573</v>
      </c>
      <c r="E5" s="5" t="s">
        <v>1574</v>
      </c>
      <c r="F5" s="5" t="s">
        <v>1575</v>
      </c>
      <c r="G5" s="5" t="s">
        <v>1576</v>
      </c>
    </row>
    <row r="6" customFormat="false" ht="15" hidden="false" customHeight="true" outlineLevel="0" collapsed="false">
      <c r="A6" s="17" t="s">
        <v>1577</v>
      </c>
      <c r="B6" s="5" t="s">
        <v>919</v>
      </c>
      <c r="C6" s="5" t="s">
        <v>921</v>
      </c>
      <c r="D6" s="5" t="s">
        <v>1578</v>
      </c>
      <c r="E6" s="5" t="s">
        <v>243</v>
      </c>
      <c r="F6" s="5" t="s">
        <v>222</v>
      </c>
      <c r="G6" s="5" t="s">
        <v>1579</v>
      </c>
    </row>
    <row r="7" customFormat="false" ht="15" hidden="false" customHeight="true" outlineLevel="0" collapsed="false">
      <c r="A7" s="17" t="s">
        <v>1580</v>
      </c>
      <c r="B7" s="5" t="s">
        <v>925</v>
      </c>
      <c r="C7" s="5" t="s">
        <v>927</v>
      </c>
      <c r="D7" s="5" t="s">
        <v>1581</v>
      </c>
      <c r="E7" s="5" t="s">
        <v>243</v>
      </c>
      <c r="F7" s="5" t="s">
        <v>1582</v>
      </c>
      <c r="G7" s="5"/>
    </row>
    <row r="8" customFormat="false" ht="23.25" hidden="false" customHeight="true" outlineLevel="0" collapsed="false">
      <c r="A8" s="17" t="s">
        <v>1583</v>
      </c>
      <c r="B8" s="5" t="s">
        <v>725</v>
      </c>
      <c r="C8" s="5" t="s">
        <v>727</v>
      </c>
      <c r="D8" s="5" t="s">
        <v>1584</v>
      </c>
      <c r="E8" s="5" t="s">
        <v>222</v>
      </c>
      <c r="F8" s="5" t="s">
        <v>1585</v>
      </c>
      <c r="G8" s="5" t="s">
        <v>1586</v>
      </c>
    </row>
    <row r="9" customFormat="false" ht="23.25" hidden="false" customHeight="true" outlineLevel="0" collapsed="false">
      <c r="A9" s="17" t="s">
        <v>1587</v>
      </c>
      <c r="B9" s="5" t="s">
        <v>1588</v>
      </c>
      <c r="C9" s="5" t="s">
        <v>742</v>
      </c>
      <c r="D9" s="5" t="s">
        <v>1584</v>
      </c>
      <c r="E9" s="5" t="s">
        <v>224</v>
      </c>
      <c r="F9" s="5" t="s">
        <v>222</v>
      </c>
      <c r="G9" s="5"/>
    </row>
    <row r="10" customFormat="false" ht="23.25" hidden="false" customHeight="true" outlineLevel="0" collapsed="false">
      <c r="A10" s="17" t="s">
        <v>1589</v>
      </c>
      <c r="B10" s="5" t="s">
        <v>760</v>
      </c>
      <c r="C10" s="5" t="s">
        <v>762</v>
      </c>
      <c r="D10" s="5" t="s">
        <v>1584</v>
      </c>
      <c r="E10" s="5" t="s">
        <v>226</v>
      </c>
      <c r="F10" s="5" t="s">
        <v>222</v>
      </c>
      <c r="G10" s="5"/>
    </row>
    <row r="11" customFormat="false" ht="15" hidden="false" customHeight="true" outlineLevel="0" collapsed="false">
      <c r="A11" s="17" t="s">
        <v>1590</v>
      </c>
      <c r="B11" s="5" t="s">
        <v>745</v>
      </c>
      <c r="C11" s="5" t="s">
        <v>747</v>
      </c>
      <c r="D11" s="5" t="s">
        <v>1591</v>
      </c>
      <c r="E11" s="5" t="s">
        <v>224</v>
      </c>
      <c r="F11" s="5" t="s">
        <v>1592</v>
      </c>
      <c r="G11" s="5"/>
    </row>
    <row r="12" customFormat="false" ht="15" hidden="false" customHeight="true" outlineLevel="0" collapsed="false">
      <c r="A12" s="17" t="s">
        <v>1593</v>
      </c>
      <c r="B12" s="5" t="s">
        <v>1594</v>
      </c>
      <c r="C12" s="5" t="s">
        <v>819</v>
      </c>
      <c r="D12" s="5" t="s">
        <v>1595</v>
      </c>
      <c r="E12" s="5" t="s">
        <v>230</v>
      </c>
      <c r="F12" s="5" t="s">
        <v>1592</v>
      </c>
      <c r="G12" s="5"/>
    </row>
    <row r="13" customFormat="false" ht="23.25" hidden="false" customHeight="true" outlineLevel="0" collapsed="false">
      <c r="A13" s="17" t="s">
        <v>1596</v>
      </c>
      <c r="B13" s="5" t="s">
        <v>1597</v>
      </c>
      <c r="C13" s="5" t="s">
        <v>1598</v>
      </c>
      <c r="D13" s="5" t="s">
        <v>1595</v>
      </c>
      <c r="E13" s="5" t="s">
        <v>222</v>
      </c>
      <c r="F13" s="5" t="s">
        <v>1592</v>
      </c>
      <c r="G13" s="5"/>
    </row>
    <row r="14" customFormat="false" ht="23.25" hidden="false" customHeight="true" outlineLevel="0" collapsed="false">
      <c r="A14" s="17" t="s">
        <v>1599</v>
      </c>
      <c r="B14" s="5" t="s">
        <v>1600</v>
      </c>
      <c r="C14" s="5" t="s">
        <v>1601</v>
      </c>
      <c r="D14" s="5" t="s">
        <v>1602</v>
      </c>
      <c r="E14" s="5" t="s">
        <v>195</v>
      </c>
      <c r="F14" s="5" t="s">
        <v>1603</v>
      </c>
      <c r="G14" s="5" t="s">
        <v>1604</v>
      </c>
    </row>
    <row r="15" customFormat="false" ht="15" hidden="false" customHeight="true" outlineLevel="0" collapsed="false">
      <c r="A15" s="17" t="s">
        <v>1605</v>
      </c>
      <c r="B15" s="5" t="s">
        <v>1606</v>
      </c>
      <c r="C15" s="5" t="s">
        <v>1607</v>
      </c>
      <c r="D15" s="5" t="s">
        <v>1608</v>
      </c>
      <c r="E15" s="5" t="s">
        <v>195</v>
      </c>
      <c r="F15" s="5" t="s">
        <v>1609</v>
      </c>
      <c r="G15" s="5"/>
    </row>
    <row r="16" customFormat="false" ht="23.25" hidden="false" customHeight="true" outlineLevel="0" collapsed="false">
      <c r="A16" s="17" t="s">
        <v>1610</v>
      </c>
      <c r="B16" s="5" t="s">
        <v>1611</v>
      </c>
      <c r="C16" s="5" t="s">
        <v>1612</v>
      </c>
      <c r="D16" s="5" t="s">
        <v>1613</v>
      </c>
      <c r="E16" s="5" t="s">
        <v>195</v>
      </c>
      <c r="F16" s="5" t="s">
        <v>1614</v>
      </c>
      <c r="G16" s="5"/>
    </row>
    <row r="17" customFormat="false" ht="23.25" hidden="false" customHeight="true" outlineLevel="0" collapsed="false">
      <c r="A17" s="17" t="s">
        <v>1615</v>
      </c>
      <c r="B17" s="5" t="s">
        <v>1616</v>
      </c>
      <c r="C17" s="5" t="s">
        <v>1617</v>
      </c>
      <c r="D17" s="5" t="s">
        <v>1618</v>
      </c>
      <c r="E17" s="5" t="s">
        <v>195</v>
      </c>
      <c r="F17" s="5" t="s">
        <v>1603</v>
      </c>
      <c r="G17" s="5"/>
    </row>
    <row r="18" customFormat="false" ht="23.25" hidden="false" customHeight="true" outlineLevel="0" collapsed="false">
      <c r="A18" s="17" t="s">
        <v>1619</v>
      </c>
      <c r="B18" s="5" t="s">
        <v>1620</v>
      </c>
      <c r="C18" s="5" t="s">
        <v>433</v>
      </c>
      <c r="D18" s="5" t="s">
        <v>1621</v>
      </c>
      <c r="E18" s="5" t="s">
        <v>195</v>
      </c>
      <c r="F18" s="5" t="s">
        <v>1603</v>
      </c>
      <c r="G18" s="5" t="s">
        <v>1622</v>
      </c>
    </row>
    <row r="19" customFormat="false" ht="15" hidden="false" customHeight="true" outlineLevel="0" collapsed="false">
      <c r="A19" s="17" t="s">
        <v>1623</v>
      </c>
      <c r="B19" s="5" t="s">
        <v>1624</v>
      </c>
      <c r="C19" s="5" t="s">
        <v>1625</v>
      </c>
      <c r="D19" s="5" t="s">
        <v>1626</v>
      </c>
      <c r="E19" s="5" t="s">
        <v>195</v>
      </c>
      <c r="F19" s="5" t="s">
        <v>1627</v>
      </c>
      <c r="G19" s="5" t="s">
        <v>1628</v>
      </c>
    </row>
    <row r="20" customFormat="false" ht="15" hidden="false" customHeight="true" outlineLevel="0" collapsed="false">
      <c r="A20" s="17" t="s">
        <v>1629</v>
      </c>
      <c r="B20" s="5" t="s">
        <v>1630</v>
      </c>
      <c r="C20" s="5" t="s">
        <v>450</v>
      </c>
      <c r="D20" s="5" t="s">
        <v>1631</v>
      </c>
      <c r="E20" s="5" t="s">
        <v>195</v>
      </c>
      <c r="F20" s="5" t="s">
        <v>1603</v>
      </c>
      <c r="G20" s="5" t="s">
        <v>1632</v>
      </c>
    </row>
    <row r="21" customFormat="false" ht="34.5" hidden="false" customHeight="true" outlineLevel="0" collapsed="false">
      <c r="A21" s="17" t="s">
        <v>1633</v>
      </c>
      <c r="B21" s="5" t="s">
        <v>1634</v>
      </c>
      <c r="C21" s="5" t="s">
        <v>115</v>
      </c>
      <c r="D21" s="5" t="s">
        <v>1635</v>
      </c>
      <c r="E21" s="5" t="s">
        <v>195</v>
      </c>
      <c r="F21" s="5" t="s">
        <v>1636</v>
      </c>
      <c r="G21" s="5" t="s">
        <v>1637</v>
      </c>
    </row>
    <row r="22" customFormat="false" ht="34.5" hidden="false" customHeight="true" outlineLevel="0" collapsed="false">
      <c r="A22" s="17" t="s">
        <v>1638</v>
      </c>
      <c r="B22" s="5" t="s">
        <v>1639</v>
      </c>
      <c r="C22" s="5" t="s">
        <v>115</v>
      </c>
      <c r="D22" s="5" t="s">
        <v>1640</v>
      </c>
      <c r="E22" s="5" t="s">
        <v>195</v>
      </c>
      <c r="F22" s="5" t="s">
        <v>1603</v>
      </c>
      <c r="G22" s="5" t="s">
        <v>1641</v>
      </c>
    </row>
    <row r="23" customFormat="false" ht="15" hidden="false" customHeight="true" outlineLevel="0" collapsed="false">
      <c r="A23" s="17" t="s">
        <v>1642</v>
      </c>
      <c r="B23" s="5" t="s">
        <v>1643</v>
      </c>
      <c r="C23" s="5" t="s">
        <v>931</v>
      </c>
      <c r="D23" s="5" t="s">
        <v>1644</v>
      </c>
      <c r="E23" s="5" t="s">
        <v>243</v>
      </c>
      <c r="F23" s="5" t="s">
        <v>1645</v>
      </c>
      <c r="G23" s="5" t="s">
        <v>1646</v>
      </c>
    </row>
    <row r="24" customFormat="false" ht="79.5" hidden="false" customHeight="true" outlineLevel="0" collapsed="false">
      <c r="A24" s="17" t="s">
        <v>1647</v>
      </c>
      <c r="B24" s="5" t="s">
        <v>1648</v>
      </c>
      <c r="C24" s="5" t="s">
        <v>994</v>
      </c>
      <c r="D24" s="5" t="s">
        <v>1649</v>
      </c>
      <c r="E24" s="5" t="s">
        <v>1650</v>
      </c>
      <c r="F24" s="5" t="s">
        <v>958</v>
      </c>
      <c r="G24" s="5" t="s">
        <v>1651</v>
      </c>
    </row>
    <row r="25" customFormat="false" ht="79.5" hidden="false" customHeight="true" outlineLevel="0" collapsed="false">
      <c r="A25" s="17" t="s">
        <v>1652</v>
      </c>
      <c r="B25" s="5" t="s">
        <v>1653</v>
      </c>
      <c r="C25" s="5" t="s">
        <v>437</v>
      </c>
      <c r="D25" s="5" t="s">
        <v>1654</v>
      </c>
      <c r="E25" s="5" t="s">
        <v>195</v>
      </c>
      <c r="F25" s="5" t="s">
        <v>958</v>
      </c>
      <c r="G25" s="5"/>
    </row>
    <row r="26" customFormat="false" ht="23.25" hidden="false" customHeight="true" outlineLevel="0" collapsed="false">
      <c r="A26" s="17" t="s">
        <v>1655</v>
      </c>
      <c r="B26" s="5" t="s">
        <v>1656</v>
      </c>
      <c r="C26" s="5" t="s">
        <v>433</v>
      </c>
      <c r="D26" s="5" t="s">
        <v>1657</v>
      </c>
      <c r="E26" s="5" t="s">
        <v>195</v>
      </c>
      <c r="F26" s="5" t="s">
        <v>958</v>
      </c>
      <c r="G26" s="5"/>
    </row>
    <row r="29" customFormat="false" ht="15" hidden="false" customHeight="true" outlineLevel="0" collapsed="false">
      <c r="A29" s="20" t="s">
        <v>1658</v>
      </c>
    </row>
    <row r="30" customFormat="false" ht="15" hidden="false" customHeight="true" outlineLevel="0" collapsed="false">
      <c r="A30" s="14" t="s">
        <v>1659</v>
      </c>
      <c r="B30" s="14" t="s">
        <v>77</v>
      </c>
      <c r="C30" s="14" t="s">
        <v>1660</v>
      </c>
      <c r="D30" s="14" t="s">
        <v>1661</v>
      </c>
      <c r="E30" s="14" t="s">
        <v>1662</v>
      </c>
    </row>
    <row r="31" customFormat="false" ht="34.5" hidden="false" customHeight="true" outlineLevel="0" collapsed="false">
      <c r="A31" s="5" t="s">
        <v>1663</v>
      </c>
      <c r="B31" s="5" t="s">
        <v>1664</v>
      </c>
      <c r="C31" s="5" t="s">
        <v>115</v>
      </c>
      <c r="D31" s="5" t="s">
        <v>1665</v>
      </c>
      <c r="E31" s="5" t="s">
        <v>1666</v>
      </c>
    </row>
    <row r="32" customFormat="false" ht="45.75" hidden="false" customHeight="true" outlineLevel="0" collapsed="false">
      <c r="A32" s="5" t="s">
        <v>1667</v>
      </c>
      <c r="B32" s="5" t="s">
        <v>1664</v>
      </c>
      <c r="C32" s="5" t="s">
        <v>115</v>
      </c>
      <c r="D32" s="5" t="s">
        <v>1668</v>
      </c>
      <c r="E32" s="5" t="s">
        <v>1669</v>
      </c>
    </row>
    <row r="33" customFormat="false" ht="45.75" hidden="false" customHeight="true" outlineLevel="0" collapsed="false">
      <c r="A33" s="5" t="s">
        <v>1670</v>
      </c>
      <c r="B33" s="5" t="s">
        <v>1664</v>
      </c>
      <c r="C33" s="5" t="s">
        <v>1671</v>
      </c>
      <c r="D33" s="5" t="s">
        <v>1668</v>
      </c>
      <c r="E33" s="5" t="s">
        <v>1672</v>
      </c>
    </row>
    <row r="34" customFormat="false" ht="34.5" hidden="false" customHeight="true" outlineLevel="0" collapsed="false">
      <c r="A34" s="5" t="s">
        <v>1673</v>
      </c>
      <c r="B34" s="5" t="s">
        <v>1664</v>
      </c>
      <c r="C34" s="5" t="s">
        <v>1674</v>
      </c>
      <c r="D34" s="5" t="s">
        <v>1675</v>
      </c>
      <c r="E34" s="5" t="s">
        <v>1676</v>
      </c>
    </row>
    <row r="35" customFormat="false" ht="34.5" hidden="false" customHeight="true" outlineLevel="0" collapsed="false">
      <c r="A35" s="5" t="s">
        <v>1677</v>
      </c>
      <c r="B35" s="5" t="s">
        <v>1664</v>
      </c>
      <c r="C35" s="5" t="s">
        <v>115</v>
      </c>
      <c r="D35" s="5" t="s">
        <v>1678</v>
      </c>
      <c r="E35" s="5" t="s">
        <v>115</v>
      </c>
    </row>
    <row r="36" customFormat="false" ht="57" hidden="false" customHeight="true" outlineLevel="0" collapsed="false">
      <c r="A36" s="5" t="s">
        <v>1679</v>
      </c>
      <c r="B36" s="5" t="s">
        <v>1664</v>
      </c>
      <c r="C36" s="5" t="s">
        <v>1680</v>
      </c>
      <c r="D36" s="5" t="s">
        <v>1681</v>
      </c>
      <c r="E36" s="5" t="s">
        <v>1682</v>
      </c>
    </row>
    <row r="37" customFormat="false" ht="113.25" hidden="false" customHeight="true" outlineLevel="0" collapsed="false">
      <c r="A37" s="5" t="s">
        <v>1683</v>
      </c>
      <c r="B37" s="5" t="s">
        <v>1664</v>
      </c>
      <c r="C37" s="5" t="s">
        <v>1684</v>
      </c>
      <c r="D37" s="5" t="s">
        <v>1685</v>
      </c>
      <c r="E37" s="5" t="s">
        <v>115</v>
      </c>
    </row>
    <row r="38" customFormat="false" ht="113.25" hidden="false" customHeight="true" outlineLevel="0" collapsed="false">
      <c r="A38" s="5" t="s">
        <v>1686</v>
      </c>
      <c r="B38" s="5" t="s">
        <v>1664</v>
      </c>
      <c r="C38" s="5" t="s">
        <v>1687</v>
      </c>
      <c r="D38" s="5" t="s">
        <v>1688</v>
      </c>
      <c r="E38" s="5" t="s">
        <v>1689</v>
      </c>
    </row>
    <row r="39" customFormat="false" ht="34.5" hidden="false" customHeight="true" outlineLevel="0" collapsed="false">
      <c r="A39" s="5" t="s">
        <v>1690</v>
      </c>
      <c r="B39" s="5" t="s">
        <v>1664</v>
      </c>
      <c r="C39" s="5" t="s">
        <v>115</v>
      </c>
      <c r="D39" s="5" t="s">
        <v>1691</v>
      </c>
      <c r="E39" s="5" t="s">
        <v>115</v>
      </c>
    </row>
    <row r="40" customFormat="false" ht="23.25" hidden="false" customHeight="true" outlineLevel="0" collapsed="false">
      <c r="A40" s="5" t="s">
        <v>1692</v>
      </c>
      <c r="B40" s="5" t="s">
        <v>1693</v>
      </c>
      <c r="C40" s="5" t="s">
        <v>1694</v>
      </c>
      <c r="D40" s="5" t="s">
        <v>1695</v>
      </c>
      <c r="E40" s="5" t="s">
        <v>1696</v>
      </c>
    </row>
    <row r="41" customFormat="false" ht="57" hidden="false" customHeight="true" outlineLevel="0" collapsed="false">
      <c r="A41" s="5" t="s">
        <v>1697</v>
      </c>
      <c r="B41" s="5" t="s">
        <v>1693</v>
      </c>
      <c r="C41" s="5" t="s">
        <v>1698</v>
      </c>
      <c r="D41" s="5" t="s">
        <v>1699</v>
      </c>
      <c r="E41" s="5" t="s">
        <v>1700</v>
      </c>
    </row>
    <row r="42" customFormat="false" ht="57" hidden="false" customHeight="true" outlineLevel="0" collapsed="false">
      <c r="A42" s="5" t="s">
        <v>1701</v>
      </c>
      <c r="B42" s="5" t="s">
        <v>1693</v>
      </c>
      <c r="C42" s="5" t="s">
        <v>115</v>
      </c>
      <c r="D42" s="5" t="s">
        <v>1702</v>
      </c>
      <c r="E42" s="5" t="s">
        <v>1703</v>
      </c>
    </row>
    <row r="43" customFormat="false" ht="23.25" hidden="false" customHeight="true" outlineLevel="0" collapsed="false">
      <c r="A43" s="5" t="s">
        <v>1704</v>
      </c>
      <c r="B43" s="5" t="s">
        <v>1693</v>
      </c>
      <c r="C43" s="5" t="s">
        <v>1694</v>
      </c>
      <c r="D43" s="5" t="s">
        <v>1705</v>
      </c>
      <c r="E43" s="5" t="s">
        <v>115</v>
      </c>
    </row>
    <row r="44" customFormat="false" ht="23.25" hidden="false" customHeight="true" outlineLevel="0" collapsed="false">
      <c r="A44" s="5" t="s">
        <v>1706</v>
      </c>
      <c r="B44" s="5" t="s">
        <v>1693</v>
      </c>
      <c r="C44" s="5" t="s">
        <v>1694</v>
      </c>
      <c r="D44" s="5" t="s">
        <v>1707</v>
      </c>
      <c r="E44" s="5" t="s">
        <v>115</v>
      </c>
    </row>
    <row r="45" customFormat="false" ht="34.5" hidden="false" customHeight="true" outlineLevel="0" collapsed="false">
      <c r="A45" s="5" t="s">
        <v>1708</v>
      </c>
      <c r="B45" s="5" t="s">
        <v>1693</v>
      </c>
      <c r="C45" s="5" t="s">
        <v>1709</v>
      </c>
      <c r="D45" s="5" t="s">
        <v>1710</v>
      </c>
      <c r="E45" s="5" t="s">
        <v>115</v>
      </c>
    </row>
    <row r="46" customFormat="false" ht="34.5" hidden="false" customHeight="true" outlineLevel="0" collapsed="false">
      <c r="A46" s="5" t="s">
        <v>1711</v>
      </c>
      <c r="B46" s="5" t="s">
        <v>1693</v>
      </c>
      <c r="C46" s="5" t="s">
        <v>1712</v>
      </c>
      <c r="D46" s="5" t="s">
        <v>1713</v>
      </c>
      <c r="E46" s="5" t="s">
        <v>115</v>
      </c>
    </row>
    <row r="47" customFormat="false" ht="34.5" hidden="false" customHeight="true" outlineLevel="0" collapsed="false">
      <c r="A47" s="5" t="s">
        <v>1714</v>
      </c>
      <c r="B47" s="5" t="s">
        <v>1693</v>
      </c>
      <c r="C47" s="5" t="s">
        <v>115</v>
      </c>
      <c r="D47" s="5" t="s">
        <v>1715</v>
      </c>
      <c r="E47" s="5" t="s">
        <v>115</v>
      </c>
    </row>
    <row r="48" customFormat="false" ht="45.75" hidden="false" customHeight="true" outlineLevel="0" collapsed="false">
      <c r="A48" s="5" t="s">
        <v>1716</v>
      </c>
      <c r="B48" s="5" t="s">
        <v>1693</v>
      </c>
      <c r="C48" s="5" t="s">
        <v>1717</v>
      </c>
      <c r="D48" s="5" t="s">
        <v>1718</v>
      </c>
      <c r="E48" s="5" t="s">
        <v>1719</v>
      </c>
    </row>
    <row r="49" customFormat="false" ht="68.25" hidden="false" customHeight="true" outlineLevel="0" collapsed="false">
      <c r="A49" s="5" t="s">
        <v>1720</v>
      </c>
      <c r="B49" s="5" t="s">
        <v>1693</v>
      </c>
      <c r="C49" s="5" t="s">
        <v>1717</v>
      </c>
      <c r="D49" s="5" t="s">
        <v>1718</v>
      </c>
      <c r="E49" s="5" t="s">
        <v>1721</v>
      </c>
    </row>
    <row r="50" customFormat="false" ht="34.5" hidden="false" customHeight="true" outlineLevel="0" collapsed="false">
      <c r="A50" s="5" t="s">
        <v>1722</v>
      </c>
      <c r="B50" s="5" t="s">
        <v>1693</v>
      </c>
      <c r="C50" s="5" t="s">
        <v>115</v>
      </c>
      <c r="D50" s="5" t="s">
        <v>1723</v>
      </c>
      <c r="E50" s="5" t="s">
        <v>1724</v>
      </c>
    </row>
    <row r="51" customFormat="false" ht="23.25" hidden="false" customHeight="true" outlineLevel="0" collapsed="false">
      <c r="A51" s="5" t="s">
        <v>1725</v>
      </c>
      <c r="B51" s="5" t="s">
        <v>1693</v>
      </c>
      <c r="C51" s="5" t="s">
        <v>1694</v>
      </c>
      <c r="D51" s="5" t="s">
        <v>1726</v>
      </c>
      <c r="E51" s="5" t="s">
        <v>1727</v>
      </c>
    </row>
    <row r="52" customFormat="false" ht="45.75" hidden="false" customHeight="true" outlineLevel="0" collapsed="false">
      <c r="A52" s="5" t="s">
        <v>1728</v>
      </c>
      <c r="B52" s="5" t="s">
        <v>1693</v>
      </c>
      <c r="C52" s="5" t="s">
        <v>1729</v>
      </c>
      <c r="D52" s="5" t="s">
        <v>1730</v>
      </c>
      <c r="E52" s="5" t="s">
        <v>115</v>
      </c>
    </row>
    <row r="53" customFormat="false" ht="34.5" hidden="false" customHeight="true" outlineLevel="0" collapsed="false">
      <c r="A53" s="5" t="s">
        <v>1731</v>
      </c>
      <c r="B53" s="5" t="s">
        <v>1693</v>
      </c>
      <c r="C53" s="5" t="s">
        <v>1732</v>
      </c>
      <c r="D53" s="5" t="s">
        <v>1733</v>
      </c>
      <c r="E53" s="5" t="s">
        <v>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M5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40"/>
    <col collapsed="false" customWidth="true" hidden="false" outlineLevel="0" max="5" min="5" style="1" width="5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2" min="11" style="1" width="11"/>
    <col collapsed="false" customWidth="true" hidden="false" outlineLevel="0" max="13" min="13" style="1" width="36"/>
  </cols>
  <sheetData>
    <row r="1" customFormat="false" ht="18" hidden="false" customHeight="true" outlineLevel="0" collapsed="false">
      <c r="A1" s="2" t="s">
        <v>1735</v>
      </c>
    </row>
    <row r="2" customFormat="false" ht="15" hidden="false" customHeight="true" outlineLevel="0" collapsed="false">
      <c r="A2" s="7" t="s">
        <v>1736</v>
      </c>
    </row>
    <row r="4" customFormat="false" ht="31.5" hidden="false" customHeight="true" outlineLevel="0" collapsed="false">
      <c r="A4" s="16" t="s">
        <v>1388</v>
      </c>
      <c r="B4" s="16" t="s">
        <v>1737</v>
      </c>
      <c r="C4" s="16" t="s">
        <v>1738</v>
      </c>
      <c r="D4" s="16" t="s">
        <v>1739</v>
      </c>
      <c r="E4" s="16" t="s">
        <v>1740</v>
      </c>
      <c r="F4" s="16" t="s">
        <v>1741</v>
      </c>
      <c r="G4" s="16" t="s">
        <v>1742</v>
      </c>
      <c r="H4" s="16" t="s">
        <v>1743</v>
      </c>
      <c r="I4" s="16" t="s">
        <v>1744</v>
      </c>
      <c r="J4" s="16" t="s">
        <v>1661</v>
      </c>
      <c r="K4" s="16" t="s">
        <v>1745</v>
      </c>
      <c r="L4" s="16" t="s">
        <v>1746</v>
      </c>
      <c r="M4" s="16" t="s">
        <v>85</v>
      </c>
    </row>
    <row r="5" customFormat="false" ht="34.5" hidden="false" customHeight="true" outlineLevel="0" collapsed="false">
      <c r="A5" s="5" t="n">
        <v>1</v>
      </c>
      <c r="B5" s="5" t="s">
        <v>1747</v>
      </c>
      <c r="C5" s="5" t="s">
        <v>1748</v>
      </c>
      <c r="D5" s="5" t="s">
        <v>1749</v>
      </c>
      <c r="E5" s="5" t="s">
        <v>1750</v>
      </c>
      <c r="F5" s="5" t="s">
        <v>1751</v>
      </c>
      <c r="G5" s="5" t="s">
        <v>1752</v>
      </c>
      <c r="H5" s="5" t="s">
        <v>1753</v>
      </c>
      <c r="I5" s="5" t="s">
        <v>1754</v>
      </c>
      <c r="J5" s="5" t="s">
        <v>220</v>
      </c>
      <c r="K5" s="5" t="s">
        <v>177</v>
      </c>
      <c r="L5" s="4" t="s">
        <v>115</v>
      </c>
      <c r="M5" s="5" t="s">
        <v>1755</v>
      </c>
    </row>
    <row r="6" customFormat="false" ht="15" hidden="false" customHeight="true" outlineLevel="0" collapsed="false">
      <c r="A6" s="5" t="n">
        <v>2</v>
      </c>
      <c r="B6" s="5" t="s">
        <v>1747</v>
      </c>
      <c r="C6" s="5" t="s">
        <v>1748</v>
      </c>
      <c r="D6" s="5" t="s">
        <v>1756</v>
      </c>
      <c r="E6" s="5" t="s">
        <v>1757</v>
      </c>
      <c r="F6" s="5" t="s">
        <v>1751</v>
      </c>
      <c r="G6" s="5" t="s">
        <v>1758</v>
      </c>
      <c r="H6" s="5" t="s">
        <v>1753</v>
      </c>
      <c r="I6" s="5" t="s">
        <v>1754</v>
      </c>
      <c r="J6" s="5" t="s">
        <v>218</v>
      </c>
      <c r="K6" s="5" t="s">
        <v>177</v>
      </c>
      <c r="L6" s="4" t="s">
        <v>115</v>
      </c>
      <c r="M6" s="5" t="s">
        <v>1759</v>
      </c>
    </row>
    <row r="7" customFormat="false" ht="15" hidden="false" customHeight="true" outlineLevel="0" collapsed="false">
      <c r="A7" s="5" t="n">
        <v>3</v>
      </c>
      <c r="B7" s="5" t="s">
        <v>1747</v>
      </c>
      <c r="C7" s="5" t="s">
        <v>1748</v>
      </c>
      <c r="D7" s="5" t="s">
        <v>1760</v>
      </c>
      <c r="E7" s="5" t="s">
        <v>1761</v>
      </c>
      <c r="F7" s="5" t="s">
        <v>1751</v>
      </c>
      <c r="G7" s="5" t="s">
        <v>1762</v>
      </c>
      <c r="H7" s="5" t="s">
        <v>1753</v>
      </c>
      <c r="I7" s="5" t="s">
        <v>1754</v>
      </c>
      <c r="J7" s="5" t="s">
        <v>1763</v>
      </c>
      <c r="K7" s="5" t="s">
        <v>177</v>
      </c>
      <c r="L7" s="4" t="s">
        <v>115</v>
      </c>
      <c r="M7" s="5" t="s">
        <v>1764</v>
      </c>
    </row>
    <row r="8" customFormat="false" ht="15" hidden="false" customHeight="true" outlineLevel="0" collapsed="false">
      <c r="A8" s="5" t="n">
        <v>4</v>
      </c>
      <c r="B8" s="5" t="s">
        <v>1747</v>
      </c>
      <c r="C8" s="5" t="s">
        <v>1748</v>
      </c>
      <c r="D8" s="5" t="s">
        <v>1765</v>
      </c>
      <c r="E8" s="5" t="s">
        <v>1766</v>
      </c>
      <c r="F8" s="5" t="s">
        <v>1751</v>
      </c>
      <c r="G8" s="5" t="s">
        <v>1767</v>
      </c>
      <c r="H8" s="5" t="s">
        <v>1753</v>
      </c>
      <c r="I8" s="5" t="s">
        <v>1754</v>
      </c>
      <c r="J8" s="5" t="s">
        <v>218</v>
      </c>
      <c r="K8" s="5" t="s">
        <v>177</v>
      </c>
      <c r="L8" s="4" t="s">
        <v>115</v>
      </c>
      <c r="M8" s="5"/>
    </row>
    <row r="9" customFormat="false" ht="15" hidden="false" customHeight="true" outlineLevel="0" collapsed="false">
      <c r="A9" s="5" t="n">
        <v>5</v>
      </c>
      <c r="B9" s="5" t="s">
        <v>1747</v>
      </c>
      <c r="C9" s="5" t="s">
        <v>1748</v>
      </c>
      <c r="D9" s="5" t="s">
        <v>1768</v>
      </c>
      <c r="E9" s="5" t="s">
        <v>1769</v>
      </c>
      <c r="F9" s="5" t="s">
        <v>1751</v>
      </c>
      <c r="G9" s="5" t="s">
        <v>1770</v>
      </c>
      <c r="H9" s="5" t="s">
        <v>1753</v>
      </c>
      <c r="I9" s="5" t="s">
        <v>1754</v>
      </c>
      <c r="J9" s="5" t="s">
        <v>226</v>
      </c>
      <c r="K9" s="5" t="s">
        <v>177</v>
      </c>
      <c r="L9" s="4" t="s">
        <v>115</v>
      </c>
      <c r="M9" s="5" t="s">
        <v>1771</v>
      </c>
    </row>
    <row r="10" customFormat="false" ht="34.5" hidden="false" customHeight="true" outlineLevel="0" collapsed="false">
      <c r="A10" s="5" t="n">
        <v>6</v>
      </c>
      <c r="B10" s="5" t="s">
        <v>1747</v>
      </c>
      <c r="C10" s="5" t="s">
        <v>1772</v>
      </c>
      <c r="D10" s="5" t="s">
        <v>1773</v>
      </c>
      <c r="E10" s="5" t="s">
        <v>115</v>
      </c>
      <c r="F10" s="5" t="s">
        <v>1774</v>
      </c>
      <c r="G10" s="5" t="s">
        <v>1775</v>
      </c>
      <c r="H10" s="5" t="s">
        <v>1753</v>
      </c>
      <c r="I10" s="5" t="s">
        <v>1776</v>
      </c>
      <c r="J10" s="5" t="s">
        <v>115</v>
      </c>
      <c r="K10" s="5" t="s">
        <v>177</v>
      </c>
      <c r="L10" s="4" t="s">
        <v>115</v>
      </c>
      <c r="M10" s="5" t="s">
        <v>1777</v>
      </c>
    </row>
    <row r="11" customFormat="false" ht="23.25" hidden="false" customHeight="true" outlineLevel="0" collapsed="false">
      <c r="A11" s="5" t="n">
        <v>7</v>
      </c>
      <c r="B11" s="5" t="s">
        <v>1747</v>
      </c>
      <c r="C11" s="5" t="s">
        <v>1772</v>
      </c>
      <c r="D11" s="5" t="s">
        <v>1778</v>
      </c>
      <c r="E11" s="5" t="s">
        <v>1779</v>
      </c>
      <c r="F11" s="5" t="s">
        <v>1774</v>
      </c>
      <c r="G11" s="5" t="s">
        <v>1780</v>
      </c>
      <c r="H11" s="5" t="s">
        <v>1753</v>
      </c>
      <c r="I11" s="5" t="s">
        <v>1754</v>
      </c>
      <c r="J11" s="5" t="s">
        <v>218</v>
      </c>
      <c r="K11" s="5" t="s">
        <v>103</v>
      </c>
      <c r="L11" s="4" t="s">
        <v>177</v>
      </c>
      <c r="M11" s="5" t="s">
        <v>1781</v>
      </c>
    </row>
    <row r="12" customFormat="false" ht="15" hidden="false" customHeight="true" outlineLevel="0" collapsed="false">
      <c r="A12" s="5" t="n">
        <v>8</v>
      </c>
      <c r="B12" s="5" t="s">
        <v>1747</v>
      </c>
      <c r="C12" s="5" t="s">
        <v>1772</v>
      </c>
      <c r="D12" s="5" t="s">
        <v>1782</v>
      </c>
      <c r="E12" s="5" t="s">
        <v>1783</v>
      </c>
      <c r="F12" s="5" t="s">
        <v>1774</v>
      </c>
      <c r="G12" s="5" t="s">
        <v>115</v>
      </c>
      <c r="H12" s="5" t="s">
        <v>1753</v>
      </c>
      <c r="I12" s="5" t="s">
        <v>1784</v>
      </c>
      <c r="J12" s="5" t="s">
        <v>218</v>
      </c>
      <c r="K12" s="5" t="s">
        <v>103</v>
      </c>
      <c r="L12" s="4" t="s">
        <v>177</v>
      </c>
      <c r="M12" s="5" t="s">
        <v>1785</v>
      </c>
    </row>
    <row r="13" customFormat="false" ht="15" hidden="false" customHeight="true" outlineLevel="0" collapsed="false">
      <c r="A13" s="5" t="n">
        <v>9</v>
      </c>
      <c r="B13" s="5" t="s">
        <v>1747</v>
      </c>
      <c r="C13" s="5" t="s">
        <v>1748</v>
      </c>
      <c r="D13" s="5" t="s">
        <v>1786</v>
      </c>
      <c r="E13" s="5" t="s">
        <v>1787</v>
      </c>
      <c r="F13" s="5" t="s">
        <v>1751</v>
      </c>
      <c r="G13" s="5" t="s">
        <v>115</v>
      </c>
      <c r="H13" s="5" t="s">
        <v>1753</v>
      </c>
      <c r="I13" s="5" t="s">
        <v>1784</v>
      </c>
      <c r="J13" s="5" t="s">
        <v>218</v>
      </c>
      <c r="K13" s="5" t="s">
        <v>177</v>
      </c>
      <c r="L13" s="4" t="s">
        <v>115</v>
      </c>
      <c r="M13" s="5"/>
    </row>
    <row r="14" customFormat="false" ht="23.25" hidden="false" customHeight="true" outlineLevel="0" collapsed="false">
      <c r="A14" s="5" t="n">
        <v>10</v>
      </c>
      <c r="B14" s="5" t="s">
        <v>1788</v>
      </c>
      <c r="C14" s="5" t="s">
        <v>1748</v>
      </c>
      <c r="D14" s="5" t="s">
        <v>1789</v>
      </c>
      <c r="E14" s="5" t="s">
        <v>1790</v>
      </c>
      <c r="F14" s="5" t="s">
        <v>1791</v>
      </c>
      <c r="G14" s="5" t="s">
        <v>1792</v>
      </c>
      <c r="H14" s="5" t="s">
        <v>1793</v>
      </c>
      <c r="I14" s="5" t="s">
        <v>1092</v>
      </c>
      <c r="J14" s="5" t="s">
        <v>1794</v>
      </c>
      <c r="K14" s="5" t="s">
        <v>177</v>
      </c>
      <c r="L14" s="4" t="s">
        <v>115</v>
      </c>
      <c r="M14" s="5"/>
    </row>
    <row r="15" customFormat="false" ht="15" hidden="false" customHeight="true" outlineLevel="0" collapsed="false">
      <c r="A15" s="5" t="n">
        <v>11</v>
      </c>
      <c r="B15" s="5" t="s">
        <v>1788</v>
      </c>
      <c r="C15" s="5" t="s">
        <v>1748</v>
      </c>
      <c r="D15" s="5" t="s">
        <v>1795</v>
      </c>
      <c r="E15" s="5" t="s">
        <v>1796</v>
      </c>
      <c r="F15" s="5" t="s">
        <v>1774</v>
      </c>
      <c r="G15" s="5" t="s">
        <v>1797</v>
      </c>
      <c r="H15" s="5" t="s">
        <v>1793</v>
      </c>
      <c r="I15" s="5" t="s">
        <v>1776</v>
      </c>
      <c r="J15" s="5" t="s">
        <v>206</v>
      </c>
      <c r="K15" s="5" t="s">
        <v>103</v>
      </c>
      <c r="L15" s="4" t="s">
        <v>177</v>
      </c>
      <c r="M15" s="5" t="s">
        <v>1798</v>
      </c>
    </row>
    <row r="16" customFormat="false" ht="15" hidden="false" customHeight="true" outlineLevel="0" collapsed="false">
      <c r="A16" s="5" t="n">
        <v>12</v>
      </c>
      <c r="B16" s="5" t="s">
        <v>1788</v>
      </c>
      <c r="C16" s="5" t="s">
        <v>1772</v>
      </c>
      <c r="D16" s="5" t="s">
        <v>1799</v>
      </c>
      <c r="E16" s="5" t="s">
        <v>1800</v>
      </c>
      <c r="F16" s="5" t="s">
        <v>1774</v>
      </c>
      <c r="G16" s="5" t="s">
        <v>1801</v>
      </c>
      <c r="H16" s="5" t="s">
        <v>1793</v>
      </c>
      <c r="I16" s="5" t="s">
        <v>1092</v>
      </c>
      <c r="J16" s="5" t="s">
        <v>1794</v>
      </c>
      <c r="K16" s="5" t="s">
        <v>177</v>
      </c>
      <c r="L16" s="4" t="s">
        <v>115</v>
      </c>
      <c r="M16" s="5"/>
    </row>
    <row r="17" customFormat="false" ht="15" hidden="false" customHeight="true" outlineLevel="0" collapsed="false">
      <c r="A17" s="5" t="n">
        <v>13</v>
      </c>
      <c r="B17" s="5" t="s">
        <v>1788</v>
      </c>
      <c r="C17" s="5" t="s">
        <v>1772</v>
      </c>
      <c r="D17" s="5" t="s">
        <v>1802</v>
      </c>
      <c r="E17" s="5" t="s">
        <v>1800</v>
      </c>
      <c r="F17" s="5" t="s">
        <v>1774</v>
      </c>
      <c r="G17" s="5" t="s">
        <v>115</v>
      </c>
      <c r="H17" s="5" t="s">
        <v>1793</v>
      </c>
      <c r="I17" s="5" t="s">
        <v>1784</v>
      </c>
      <c r="J17" s="5" t="s">
        <v>1803</v>
      </c>
      <c r="K17" s="5" t="s">
        <v>103</v>
      </c>
      <c r="L17" s="4" t="s">
        <v>177</v>
      </c>
      <c r="M17" s="5" t="s">
        <v>1804</v>
      </c>
    </row>
    <row r="18" customFormat="false" ht="15" hidden="false" customHeight="true" outlineLevel="0" collapsed="false">
      <c r="A18" s="5" t="n">
        <v>14</v>
      </c>
      <c r="B18" s="5" t="s">
        <v>1788</v>
      </c>
      <c r="C18" s="5" t="s">
        <v>1772</v>
      </c>
      <c r="D18" s="5" t="s">
        <v>1805</v>
      </c>
      <c r="E18" s="5" t="s">
        <v>1806</v>
      </c>
      <c r="F18" s="5" t="s">
        <v>1774</v>
      </c>
      <c r="G18" s="5" t="s">
        <v>115</v>
      </c>
      <c r="H18" s="5" t="s">
        <v>1793</v>
      </c>
      <c r="I18" s="5" t="s">
        <v>1784</v>
      </c>
      <c r="J18" s="5" t="s">
        <v>214</v>
      </c>
      <c r="K18" s="5" t="s">
        <v>103</v>
      </c>
      <c r="L18" s="4" t="s">
        <v>177</v>
      </c>
      <c r="M18" s="5" t="s">
        <v>1807</v>
      </c>
    </row>
    <row r="19" customFormat="false" ht="23.25" hidden="false" customHeight="true" outlineLevel="0" collapsed="false">
      <c r="A19" s="5" t="n">
        <v>15</v>
      </c>
      <c r="B19" s="5" t="s">
        <v>1788</v>
      </c>
      <c r="C19" s="5" t="s">
        <v>1748</v>
      </c>
      <c r="D19" s="5" t="s">
        <v>1808</v>
      </c>
      <c r="E19" s="5" t="s">
        <v>1809</v>
      </c>
      <c r="F19" s="5" t="s">
        <v>1751</v>
      </c>
      <c r="G19" s="5" t="s">
        <v>115</v>
      </c>
      <c r="H19" s="5" t="s">
        <v>1793</v>
      </c>
      <c r="I19" s="5" t="s">
        <v>1784</v>
      </c>
      <c r="J19" s="5" t="s">
        <v>206</v>
      </c>
      <c r="K19" s="5" t="s">
        <v>177</v>
      </c>
      <c r="L19" s="4" t="s">
        <v>115</v>
      </c>
      <c r="M19" s="5" t="s">
        <v>1810</v>
      </c>
    </row>
    <row r="20" customFormat="false" ht="34.5" hidden="false" customHeight="true" outlineLevel="0" collapsed="false">
      <c r="A20" s="5" t="n">
        <v>16</v>
      </c>
      <c r="B20" s="5" t="s">
        <v>1788</v>
      </c>
      <c r="C20" s="5" t="s">
        <v>1748</v>
      </c>
      <c r="D20" s="5" t="s">
        <v>1811</v>
      </c>
      <c r="E20" s="5" t="s">
        <v>1812</v>
      </c>
      <c r="F20" s="5" t="s">
        <v>1751</v>
      </c>
      <c r="G20" s="5" t="s">
        <v>115</v>
      </c>
      <c r="H20" s="5" t="s">
        <v>1793</v>
      </c>
      <c r="I20" s="5" t="s">
        <v>1784</v>
      </c>
      <c r="J20" s="5" t="s">
        <v>212</v>
      </c>
      <c r="K20" s="5" t="s">
        <v>177</v>
      </c>
      <c r="L20" s="4" t="s">
        <v>115</v>
      </c>
      <c r="M20" s="5"/>
    </row>
    <row r="21" customFormat="false" ht="34.5" hidden="false" customHeight="true" outlineLevel="0" collapsed="false">
      <c r="A21" s="5" t="n">
        <v>17</v>
      </c>
      <c r="B21" s="5" t="s">
        <v>1813</v>
      </c>
      <c r="C21" s="5" t="s">
        <v>1748</v>
      </c>
      <c r="D21" s="5" t="s">
        <v>1814</v>
      </c>
      <c r="E21" s="5" t="s">
        <v>1815</v>
      </c>
      <c r="F21" s="5" t="s">
        <v>1751</v>
      </c>
      <c r="G21" s="5" t="s">
        <v>1816</v>
      </c>
      <c r="H21" s="5" t="s">
        <v>1817</v>
      </c>
      <c r="I21" s="5" t="s">
        <v>1754</v>
      </c>
      <c r="J21" s="5" t="s">
        <v>216</v>
      </c>
      <c r="K21" s="5" t="s">
        <v>177</v>
      </c>
      <c r="L21" s="4" t="s">
        <v>115</v>
      </c>
      <c r="M21" s="5" t="s">
        <v>1818</v>
      </c>
    </row>
    <row r="22" customFormat="false" ht="15" hidden="false" customHeight="true" outlineLevel="0" collapsed="false">
      <c r="A22" s="5" t="n">
        <v>18</v>
      </c>
      <c r="B22" s="5" t="s">
        <v>1813</v>
      </c>
      <c r="C22" s="5" t="s">
        <v>1819</v>
      </c>
      <c r="D22" s="5" t="s">
        <v>1820</v>
      </c>
      <c r="E22" s="5" t="s">
        <v>1821</v>
      </c>
      <c r="F22" s="5" t="s">
        <v>1751</v>
      </c>
      <c r="G22" s="5" t="s">
        <v>1822</v>
      </c>
      <c r="H22" s="5" t="s">
        <v>1817</v>
      </c>
      <c r="I22" s="5" t="s">
        <v>1754</v>
      </c>
      <c r="J22" s="5" t="s">
        <v>216</v>
      </c>
      <c r="K22" s="5" t="s">
        <v>177</v>
      </c>
      <c r="L22" s="4" t="s">
        <v>115</v>
      </c>
      <c r="M22" s="5"/>
    </row>
    <row r="23" customFormat="false" ht="15" hidden="false" customHeight="true" outlineLevel="0" collapsed="false">
      <c r="A23" s="5" t="n">
        <v>19</v>
      </c>
      <c r="B23" s="5" t="s">
        <v>1813</v>
      </c>
      <c r="C23" s="5" t="s">
        <v>1819</v>
      </c>
      <c r="D23" s="5" t="s">
        <v>1823</v>
      </c>
      <c r="E23" s="5" t="s">
        <v>1824</v>
      </c>
      <c r="F23" s="5" t="s">
        <v>1751</v>
      </c>
      <c r="G23" s="5" t="s">
        <v>1825</v>
      </c>
      <c r="H23" s="5" t="s">
        <v>1817</v>
      </c>
      <c r="I23" s="5" t="s">
        <v>1754</v>
      </c>
      <c r="J23" s="5" t="s">
        <v>216</v>
      </c>
      <c r="K23" s="5" t="s">
        <v>177</v>
      </c>
      <c r="L23" s="4" t="s">
        <v>115</v>
      </c>
      <c r="M23" s="5"/>
    </row>
    <row r="24" customFormat="false" ht="15" hidden="false" customHeight="true" outlineLevel="0" collapsed="false">
      <c r="A24" s="5" t="n">
        <v>20</v>
      </c>
      <c r="B24" s="5" t="s">
        <v>1813</v>
      </c>
      <c r="C24" s="5" t="s">
        <v>1819</v>
      </c>
      <c r="D24" s="5" t="s">
        <v>1826</v>
      </c>
      <c r="E24" s="5" t="s">
        <v>1827</v>
      </c>
      <c r="F24" s="5" t="s">
        <v>1751</v>
      </c>
      <c r="G24" s="5" t="s">
        <v>1828</v>
      </c>
      <c r="H24" s="5" t="s">
        <v>1817</v>
      </c>
      <c r="I24" s="5" t="s">
        <v>1754</v>
      </c>
      <c r="J24" s="5" t="s">
        <v>216</v>
      </c>
      <c r="K24" s="5" t="s">
        <v>177</v>
      </c>
      <c r="L24" s="4" t="s">
        <v>115</v>
      </c>
      <c r="M24" s="5"/>
    </row>
    <row r="25" customFormat="false" ht="15" hidden="false" customHeight="true" outlineLevel="0" collapsed="false">
      <c r="A25" s="5" t="n">
        <v>21</v>
      </c>
      <c r="B25" s="5" t="s">
        <v>1813</v>
      </c>
      <c r="C25" s="5" t="s">
        <v>1772</v>
      </c>
      <c r="D25" s="5" t="s">
        <v>1829</v>
      </c>
      <c r="E25" s="5" t="s">
        <v>1830</v>
      </c>
      <c r="F25" s="5" t="s">
        <v>1774</v>
      </c>
      <c r="G25" s="5" t="s">
        <v>1831</v>
      </c>
      <c r="H25" s="5" t="s">
        <v>1817</v>
      </c>
      <c r="I25" s="5" t="s">
        <v>1776</v>
      </c>
      <c r="J25" s="5" t="s">
        <v>216</v>
      </c>
      <c r="K25" s="5" t="s">
        <v>103</v>
      </c>
      <c r="L25" s="4" t="s">
        <v>177</v>
      </c>
      <c r="M25" s="5"/>
    </row>
    <row r="26" customFormat="false" ht="15" hidden="false" customHeight="true" outlineLevel="0" collapsed="false">
      <c r="A26" s="5" t="n">
        <v>22</v>
      </c>
      <c r="B26" s="5" t="s">
        <v>1832</v>
      </c>
      <c r="C26" s="5" t="s">
        <v>1772</v>
      </c>
      <c r="D26" s="5" t="s">
        <v>1833</v>
      </c>
      <c r="E26" s="5" t="s">
        <v>115</v>
      </c>
      <c r="F26" s="5" t="s">
        <v>1834</v>
      </c>
      <c r="G26" s="5" t="s">
        <v>1835</v>
      </c>
      <c r="H26" s="5" t="s">
        <v>1836</v>
      </c>
      <c r="I26" s="5" t="s">
        <v>1092</v>
      </c>
      <c r="J26" s="5" t="s">
        <v>238</v>
      </c>
      <c r="K26" s="5" t="s">
        <v>177</v>
      </c>
      <c r="L26" s="4" t="s">
        <v>115</v>
      </c>
      <c r="M26" s="5" t="s">
        <v>1837</v>
      </c>
    </row>
    <row r="27" customFormat="false" ht="15" hidden="false" customHeight="true" outlineLevel="0" collapsed="false">
      <c r="A27" s="5" t="n">
        <v>23</v>
      </c>
      <c r="B27" s="5" t="s">
        <v>1832</v>
      </c>
      <c r="C27" s="5" t="s">
        <v>1772</v>
      </c>
      <c r="D27" s="5" t="s">
        <v>1838</v>
      </c>
      <c r="E27" s="5" t="s">
        <v>1839</v>
      </c>
      <c r="F27" s="5" t="s">
        <v>1774</v>
      </c>
      <c r="G27" s="5" t="s">
        <v>1840</v>
      </c>
      <c r="H27" s="5" t="s">
        <v>1836</v>
      </c>
      <c r="I27" s="5" t="s">
        <v>1092</v>
      </c>
      <c r="J27" s="5" t="s">
        <v>238</v>
      </c>
      <c r="K27" s="5" t="s">
        <v>177</v>
      </c>
      <c r="L27" s="4" t="s">
        <v>115</v>
      </c>
      <c r="M27" s="5"/>
    </row>
    <row r="28" customFormat="false" ht="15" hidden="false" customHeight="true" outlineLevel="0" collapsed="false">
      <c r="A28" s="5" t="n">
        <v>24</v>
      </c>
      <c r="B28" s="5" t="s">
        <v>1832</v>
      </c>
      <c r="C28" s="5" t="s">
        <v>1772</v>
      </c>
      <c r="D28" s="5" t="s">
        <v>1841</v>
      </c>
      <c r="E28" s="5" t="s">
        <v>1842</v>
      </c>
      <c r="F28" s="5" t="s">
        <v>1774</v>
      </c>
      <c r="G28" s="5" t="s">
        <v>1843</v>
      </c>
      <c r="H28" s="5" t="s">
        <v>1836</v>
      </c>
      <c r="I28" s="5" t="s">
        <v>1092</v>
      </c>
      <c r="J28" s="5" t="s">
        <v>238</v>
      </c>
      <c r="K28" s="5" t="s">
        <v>177</v>
      </c>
      <c r="L28" s="4" t="s">
        <v>115</v>
      </c>
      <c r="M28" s="5"/>
    </row>
    <row r="29" customFormat="false" ht="15" hidden="false" customHeight="true" outlineLevel="0" collapsed="false">
      <c r="A29" s="5" t="n">
        <v>25</v>
      </c>
      <c r="B29" s="5" t="s">
        <v>1844</v>
      </c>
      <c r="C29" s="5" t="s">
        <v>1772</v>
      </c>
      <c r="D29" s="5" t="s">
        <v>1845</v>
      </c>
      <c r="E29" s="5" t="s">
        <v>115</v>
      </c>
      <c r="F29" s="5" t="s">
        <v>1834</v>
      </c>
      <c r="G29" s="5" t="s">
        <v>1846</v>
      </c>
      <c r="H29" s="5" t="s">
        <v>1847</v>
      </c>
      <c r="I29" s="5" t="s">
        <v>1092</v>
      </c>
      <c r="J29" s="5" t="s">
        <v>230</v>
      </c>
      <c r="K29" s="5" t="s">
        <v>177</v>
      </c>
      <c r="L29" s="4" t="s">
        <v>115</v>
      </c>
      <c r="M29" s="5" t="s">
        <v>1848</v>
      </c>
    </row>
    <row r="30" customFormat="false" ht="15" hidden="false" customHeight="true" outlineLevel="0" collapsed="false">
      <c r="A30" s="5" t="n">
        <v>26</v>
      </c>
      <c r="B30" s="5" t="s">
        <v>1844</v>
      </c>
      <c r="C30" s="5" t="s">
        <v>1772</v>
      </c>
      <c r="D30" s="5" t="s">
        <v>1849</v>
      </c>
      <c r="E30" s="5" t="s">
        <v>1779</v>
      </c>
      <c r="F30" s="5" t="s">
        <v>1774</v>
      </c>
      <c r="G30" s="5" t="s">
        <v>1850</v>
      </c>
      <c r="H30" s="5" t="s">
        <v>1847</v>
      </c>
      <c r="I30" s="5" t="s">
        <v>1092</v>
      </c>
      <c r="J30" s="5" t="s">
        <v>222</v>
      </c>
      <c r="K30" s="5" t="s">
        <v>177</v>
      </c>
      <c r="L30" s="4" t="s">
        <v>115</v>
      </c>
      <c r="M30" s="5"/>
    </row>
    <row r="31" customFormat="false" ht="15" hidden="false" customHeight="true" outlineLevel="0" collapsed="false">
      <c r="A31" s="5" t="n">
        <v>27</v>
      </c>
      <c r="B31" s="5" t="s">
        <v>1844</v>
      </c>
      <c r="C31" s="5" t="s">
        <v>1772</v>
      </c>
      <c r="D31" s="5" t="s">
        <v>1851</v>
      </c>
      <c r="E31" s="5" t="s">
        <v>1800</v>
      </c>
      <c r="F31" s="5" t="s">
        <v>1774</v>
      </c>
      <c r="G31" s="5" t="s">
        <v>115</v>
      </c>
      <c r="H31" s="5" t="s">
        <v>1847</v>
      </c>
      <c r="I31" s="5" t="s">
        <v>1784</v>
      </c>
      <c r="J31" s="5" t="s">
        <v>1627</v>
      </c>
      <c r="K31" s="5" t="s">
        <v>103</v>
      </c>
      <c r="L31" s="4" t="s">
        <v>177</v>
      </c>
      <c r="M31" s="5" t="s">
        <v>1852</v>
      </c>
    </row>
    <row r="32" customFormat="false" ht="15" hidden="false" customHeight="true" outlineLevel="0" collapsed="false">
      <c r="A32" s="5" t="n">
        <v>28</v>
      </c>
      <c r="B32" s="5" t="s">
        <v>1844</v>
      </c>
      <c r="C32" s="5" t="s">
        <v>1772</v>
      </c>
      <c r="D32" s="5" t="s">
        <v>1853</v>
      </c>
      <c r="E32" s="5" t="s">
        <v>115</v>
      </c>
      <c r="F32" s="5" t="s">
        <v>1774</v>
      </c>
      <c r="G32" s="5" t="s">
        <v>1854</v>
      </c>
      <c r="H32" s="5" t="s">
        <v>1847</v>
      </c>
      <c r="I32" s="5" t="s">
        <v>1092</v>
      </c>
      <c r="J32" s="5" t="s">
        <v>222</v>
      </c>
      <c r="K32" s="5" t="s">
        <v>177</v>
      </c>
      <c r="L32" s="4" t="s">
        <v>115</v>
      </c>
      <c r="M32" s="5"/>
    </row>
    <row r="33" customFormat="false" ht="15" hidden="false" customHeight="true" outlineLevel="0" collapsed="false">
      <c r="A33" s="5" t="n">
        <v>29</v>
      </c>
      <c r="B33" s="5" t="s">
        <v>1844</v>
      </c>
      <c r="C33" s="5" t="s">
        <v>1772</v>
      </c>
      <c r="D33" s="5" t="s">
        <v>1855</v>
      </c>
      <c r="E33" s="5" t="s">
        <v>1766</v>
      </c>
      <c r="F33" s="5" t="s">
        <v>1774</v>
      </c>
      <c r="G33" s="5" t="s">
        <v>115</v>
      </c>
      <c r="H33" s="5" t="s">
        <v>1847</v>
      </c>
      <c r="I33" s="5" t="s">
        <v>1784</v>
      </c>
      <c r="J33" s="5" t="s">
        <v>243</v>
      </c>
      <c r="K33" s="5" t="s">
        <v>103</v>
      </c>
      <c r="L33" s="4" t="s">
        <v>177</v>
      </c>
      <c r="M33" s="5"/>
    </row>
    <row r="34" customFormat="false" ht="15" hidden="false" customHeight="true" outlineLevel="0" collapsed="false">
      <c r="A34" s="5" t="n">
        <v>30</v>
      </c>
      <c r="B34" s="5" t="s">
        <v>1844</v>
      </c>
      <c r="C34" s="5" t="s">
        <v>1748</v>
      </c>
      <c r="D34" s="5" t="s">
        <v>1856</v>
      </c>
      <c r="E34" s="5" t="s">
        <v>1857</v>
      </c>
      <c r="F34" s="5" t="s">
        <v>1751</v>
      </c>
      <c r="G34" s="5" t="s">
        <v>115</v>
      </c>
      <c r="H34" s="5" t="s">
        <v>1847</v>
      </c>
      <c r="I34" s="5" t="s">
        <v>1784</v>
      </c>
      <c r="J34" s="5" t="s">
        <v>222</v>
      </c>
      <c r="K34" s="5" t="s">
        <v>177</v>
      </c>
      <c r="L34" s="4" t="s">
        <v>115</v>
      </c>
      <c r="M34" s="5"/>
    </row>
    <row r="35" customFormat="false" ht="15" hidden="false" customHeight="true" outlineLevel="0" collapsed="false">
      <c r="A35" s="5" t="n">
        <v>31</v>
      </c>
      <c r="B35" s="5" t="s">
        <v>1844</v>
      </c>
      <c r="C35" s="5" t="s">
        <v>1748</v>
      </c>
      <c r="D35" s="5" t="s">
        <v>1858</v>
      </c>
      <c r="E35" s="5" t="s">
        <v>1859</v>
      </c>
      <c r="F35" s="5" t="s">
        <v>1751</v>
      </c>
      <c r="G35" s="5" t="s">
        <v>115</v>
      </c>
      <c r="H35" s="5" t="s">
        <v>1847</v>
      </c>
      <c r="I35" s="5" t="s">
        <v>1784</v>
      </c>
      <c r="J35" s="5" t="s">
        <v>224</v>
      </c>
      <c r="K35" s="5" t="s">
        <v>177</v>
      </c>
      <c r="L35" s="4" t="s">
        <v>115</v>
      </c>
      <c r="M35" s="5"/>
    </row>
    <row r="36" customFormat="false" ht="15" hidden="false" customHeight="true" outlineLevel="0" collapsed="false">
      <c r="A36" s="5" t="n">
        <v>32</v>
      </c>
      <c r="B36" s="5" t="s">
        <v>1844</v>
      </c>
      <c r="C36" s="5" t="s">
        <v>1772</v>
      </c>
      <c r="D36" s="5" t="s">
        <v>1860</v>
      </c>
      <c r="E36" s="5" t="s">
        <v>115</v>
      </c>
      <c r="F36" s="5" t="s">
        <v>1774</v>
      </c>
      <c r="G36" s="5" t="s">
        <v>115</v>
      </c>
      <c r="H36" s="5" t="s">
        <v>1847</v>
      </c>
      <c r="I36" s="5" t="s">
        <v>1784</v>
      </c>
      <c r="J36" s="5" t="s">
        <v>224</v>
      </c>
      <c r="K36" s="5" t="s">
        <v>103</v>
      </c>
      <c r="L36" s="4" t="s">
        <v>177</v>
      </c>
      <c r="M36" s="5" t="s">
        <v>1861</v>
      </c>
    </row>
    <row r="37" customFormat="false" ht="15" hidden="false" customHeight="true" outlineLevel="0" collapsed="false">
      <c r="A37" s="5" t="n">
        <v>33</v>
      </c>
      <c r="B37" s="5" t="s">
        <v>1844</v>
      </c>
      <c r="C37" s="5" t="s">
        <v>1772</v>
      </c>
      <c r="D37" s="5" t="s">
        <v>1862</v>
      </c>
      <c r="E37" s="5" t="s">
        <v>1863</v>
      </c>
      <c r="F37" s="5" t="s">
        <v>1834</v>
      </c>
      <c r="G37" s="5" t="s">
        <v>1864</v>
      </c>
      <c r="H37" s="5" t="s">
        <v>1847</v>
      </c>
      <c r="I37" s="5" t="s">
        <v>1092</v>
      </c>
      <c r="J37" s="5" t="s">
        <v>228</v>
      </c>
      <c r="K37" s="5" t="s">
        <v>177</v>
      </c>
      <c r="L37" s="4" t="s">
        <v>115</v>
      </c>
      <c r="M37" s="5"/>
    </row>
    <row r="38" customFormat="false" ht="15" hidden="false" customHeight="true" outlineLevel="0" collapsed="false">
      <c r="A38" s="5" t="n">
        <v>34</v>
      </c>
      <c r="B38" s="5" t="s">
        <v>1844</v>
      </c>
      <c r="C38" s="5" t="s">
        <v>1772</v>
      </c>
      <c r="D38" s="5" t="s">
        <v>1865</v>
      </c>
      <c r="E38" s="5" t="s">
        <v>1800</v>
      </c>
      <c r="F38" s="5" t="s">
        <v>1774</v>
      </c>
      <c r="G38" s="5" t="s">
        <v>115</v>
      </c>
      <c r="H38" s="5" t="s">
        <v>1847</v>
      </c>
      <c r="I38" s="5" t="s">
        <v>1784</v>
      </c>
      <c r="J38" s="5" t="s">
        <v>228</v>
      </c>
      <c r="K38" s="5" t="s">
        <v>103</v>
      </c>
      <c r="L38" s="4" t="s">
        <v>177</v>
      </c>
      <c r="M38" s="5"/>
    </row>
    <row r="39" customFormat="false" ht="15" hidden="false" customHeight="true" outlineLevel="0" collapsed="false">
      <c r="A39" s="5" t="n">
        <v>35</v>
      </c>
      <c r="B39" s="5" t="s">
        <v>1844</v>
      </c>
      <c r="C39" s="5" t="s">
        <v>1772</v>
      </c>
      <c r="D39" s="5" t="s">
        <v>1866</v>
      </c>
      <c r="E39" s="5" t="s">
        <v>1800</v>
      </c>
      <c r="F39" s="5" t="s">
        <v>1774</v>
      </c>
      <c r="G39" s="5" t="s">
        <v>115</v>
      </c>
      <c r="H39" s="5" t="s">
        <v>1847</v>
      </c>
      <c r="I39" s="5" t="s">
        <v>1784</v>
      </c>
      <c r="J39" s="5" t="s">
        <v>230</v>
      </c>
      <c r="K39" s="5" t="s">
        <v>103</v>
      </c>
      <c r="L39" s="4" t="s">
        <v>177</v>
      </c>
      <c r="M39" s="5"/>
    </row>
    <row r="40" customFormat="false" ht="15" hidden="false" customHeight="true" outlineLevel="0" collapsed="false">
      <c r="A40" s="5" t="n">
        <v>36</v>
      </c>
      <c r="B40" s="5" t="s">
        <v>1844</v>
      </c>
      <c r="C40" s="5" t="s">
        <v>1772</v>
      </c>
      <c r="D40" s="5" t="s">
        <v>1867</v>
      </c>
      <c r="E40" s="5" t="s">
        <v>1868</v>
      </c>
      <c r="F40" s="5" t="s">
        <v>1774</v>
      </c>
      <c r="G40" s="5" t="s">
        <v>115</v>
      </c>
      <c r="H40" s="5" t="s">
        <v>1847</v>
      </c>
      <c r="I40" s="5" t="s">
        <v>1784</v>
      </c>
      <c r="J40" s="5" t="s">
        <v>232</v>
      </c>
      <c r="K40" s="5" t="s">
        <v>103</v>
      </c>
      <c r="L40" s="4" t="s">
        <v>177</v>
      </c>
      <c r="M40" s="5"/>
    </row>
    <row r="41" customFormat="false" ht="15" hidden="false" customHeight="true" outlineLevel="0" collapsed="false">
      <c r="A41" s="5" t="n">
        <v>37</v>
      </c>
      <c r="B41" s="5" t="s">
        <v>1844</v>
      </c>
      <c r="C41" s="5" t="s">
        <v>1772</v>
      </c>
      <c r="D41" s="5" t="s">
        <v>1869</v>
      </c>
      <c r="E41" s="5" t="s">
        <v>1870</v>
      </c>
      <c r="F41" s="5" t="s">
        <v>1774</v>
      </c>
      <c r="G41" s="5" t="s">
        <v>115</v>
      </c>
      <c r="H41" s="5" t="s">
        <v>1847</v>
      </c>
      <c r="I41" s="5" t="s">
        <v>1784</v>
      </c>
      <c r="J41" s="5" t="s">
        <v>234</v>
      </c>
      <c r="K41" s="5" t="s">
        <v>103</v>
      </c>
      <c r="L41" s="4" t="s">
        <v>177</v>
      </c>
      <c r="M41" s="5"/>
    </row>
    <row r="42" customFormat="false" ht="34.5" hidden="false" customHeight="true" outlineLevel="0" collapsed="false">
      <c r="A42" s="5" t="n">
        <v>38</v>
      </c>
      <c r="B42" s="5" t="s">
        <v>1844</v>
      </c>
      <c r="C42" s="5" t="s">
        <v>1772</v>
      </c>
      <c r="D42" s="5" t="s">
        <v>1871</v>
      </c>
      <c r="E42" s="5" t="s">
        <v>115</v>
      </c>
      <c r="F42" s="5" t="s">
        <v>1872</v>
      </c>
      <c r="G42" s="5" t="s">
        <v>115</v>
      </c>
      <c r="H42" s="5" t="s">
        <v>1847</v>
      </c>
      <c r="I42" s="5" t="s">
        <v>1784</v>
      </c>
      <c r="J42" s="5" t="s">
        <v>1873</v>
      </c>
      <c r="K42" s="5" t="s">
        <v>177</v>
      </c>
      <c r="L42" s="4" t="s">
        <v>115</v>
      </c>
      <c r="M42" s="5" t="s">
        <v>1874</v>
      </c>
    </row>
    <row r="43" customFormat="false" ht="15" hidden="false" customHeight="true" outlineLevel="0" collapsed="false">
      <c r="A43" s="5" t="n">
        <v>39</v>
      </c>
      <c r="B43" s="5" t="s">
        <v>1844</v>
      </c>
      <c r="C43" s="5" t="s">
        <v>1772</v>
      </c>
      <c r="D43" s="5" t="s">
        <v>1875</v>
      </c>
      <c r="E43" s="5" t="s">
        <v>1876</v>
      </c>
      <c r="F43" s="5" t="s">
        <v>1774</v>
      </c>
      <c r="G43" s="5" t="s">
        <v>1877</v>
      </c>
      <c r="H43" s="5" t="s">
        <v>1847</v>
      </c>
      <c r="I43" s="5" t="s">
        <v>1092</v>
      </c>
      <c r="J43" s="5" t="s">
        <v>1878</v>
      </c>
      <c r="K43" s="5" t="s">
        <v>177</v>
      </c>
      <c r="L43" s="4" t="s">
        <v>115</v>
      </c>
      <c r="M43" s="5"/>
    </row>
    <row r="44" customFormat="false" ht="23.25" hidden="false" customHeight="true" outlineLevel="0" collapsed="false">
      <c r="A44" s="5" t="n">
        <v>40</v>
      </c>
      <c r="B44" s="5" t="s">
        <v>1844</v>
      </c>
      <c r="C44" s="5" t="s">
        <v>1748</v>
      </c>
      <c r="D44" s="5" t="s">
        <v>1879</v>
      </c>
      <c r="E44" s="5" t="s">
        <v>1800</v>
      </c>
      <c r="F44" s="5" t="s">
        <v>1751</v>
      </c>
      <c r="G44" s="5" t="s">
        <v>1880</v>
      </c>
      <c r="H44" s="5" t="s">
        <v>1847</v>
      </c>
      <c r="I44" s="5" t="s">
        <v>1092</v>
      </c>
      <c r="J44" s="5" t="s">
        <v>1878</v>
      </c>
      <c r="K44" s="5" t="s">
        <v>177</v>
      </c>
      <c r="L44" s="4" t="s">
        <v>115</v>
      </c>
      <c r="M44" s="5"/>
    </row>
    <row r="45" customFormat="false" ht="15" hidden="false" customHeight="true" outlineLevel="0" collapsed="false">
      <c r="A45" s="5" t="n">
        <v>41</v>
      </c>
      <c r="B45" s="5" t="s">
        <v>1881</v>
      </c>
      <c r="C45" s="5" t="s">
        <v>1748</v>
      </c>
      <c r="D45" s="5" t="s">
        <v>1882</v>
      </c>
      <c r="E45" s="5" t="s">
        <v>1883</v>
      </c>
      <c r="F45" s="5" t="s">
        <v>1774</v>
      </c>
      <c r="G45" s="5" t="s">
        <v>1884</v>
      </c>
      <c r="H45" s="5" t="s">
        <v>1885</v>
      </c>
      <c r="I45" s="5" t="s">
        <v>1092</v>
      </c>
      <c r="J45" s="5" t="s">
        <v>1794</v>
      </c>
      <c r="K45" s="5" t="s">
        <v>177</v>
      </c>
      <c r="L45" s="4" t="s">
        <v>115</v>
      </c>
      <c r="M45" s="5"/>
    </row>
    <row r="46" customFormat="false" ht="15" hidden="false" customHeight="true" outlineLevel="0" collapsed="false">
      <c r="A46" s="5" t="n">
        <v>42</v>
      </c>
      <c r="B46" s="5" t="s">
        <v>1881</v>
      </c>
      <c r="C46" s="5" t="s">
        <v>1772</v>
      </c>
      <c r="D46" s="5" t="s">
        <v>1886</v>
      </c>
      <c r="E46" s="5" t="s">
        <v>1800</v>
      </c>
      <c r="F46" s="5" t="s">
        <v>1774</v>
      </c>
      <c r="G46" s="5" t="s">
        <v>1887</v>
      </c>
      <c r="H46" s="5" t="s">
        <v>1885</v>
      </c>
      <c r="I46" s="5" t="s">
        <v>1092</v>
      </c>
      <c r="J46" s="5" t="s">
        <v>220</v>
      </c>
      <c r="K46" s="5" t="s">
        <v>177</v>
      </c>
      <c r="L46" s="4" t="s">
        <v>115</v>
      </c>
      <c r="M46" s="5" t="s">
        <v>1888</v>
      </c>
    </row>
    <row r="47" customFormat="false" ht="15" hidden="false" customHeight="true" outlineLevel="0" collapsed="false">
      <c r="A47" s="5" t="n">
        <v>43</v>
      </c>
      <c r="B47" s="5" t="s">
        <v>1881</v>
      </c>
      <c r="C47" s="5" t="s">
        <v>1772</v>
      </c>
      <c r="D47" s="5" t="s">
        <v>1889</v>
      </c>
      <c r="E47" s="5" t="s">
        <v>1890</v>
      </c>
      <c r="F47" s="5" t="s">
        <v>1774</v>
      </c>
      <c r="G47" s="5" t="s">
        <v>1891</v>
      </c>
      <c r="H47" s="5" t="s">
        <v>1885</v>
      </c>
      <c r="I47" s="5" t="s">
        <v>1092</v>
      </c>
      <c r="J47" s="5" t="s">
        <v>220</v>
      </c>
      <c r="K47" s="5" t="s">
        <v>177</v>
      </c>
      <c r="L47" s="4" t="s">
        <v>115</v>
      </c>
      <c r="M47" s="5"/>
    </row>
    <row r="48" customFormat="false" ht="15" hidden="false" customHeight="true" outlineLevel="0" collapsed="false">
      <c r="A48" s="5" t="n">
        <v>44</v>
      </c>
      <c r="B48" s="5" t="s">
        <v>1881</v>
      </c>
      <c r="C48" s="5" t="s">
        <v>1748</v>
      </c>
      <c r="D48" s="5" t="s">
        <v>1892</v>
      </c>
      <c r="E48" s="5" t="s">
        <v>1893</v>
      </c>
      <c r="F48" s="5" t="s">
        <v>1751</v>
      </c>
      <c r="G48" s="5" t="s">
        <v>1894</v>
      </c>
      <c r="H48" s="5" t="s">
        <v>1885</v>
      </c>
      <c r="I48" s="5" t="s">
        <v>1092</v>
      </c>
      <c r="J48" s="5" t="s">
        <v>1895</v>
      </c>
      <c r="K48" s="5" t="s">
        <v>177</v>
      </c>
      <c r="L48" s="4" t="s">
        <v>115</v>
      </c>
      <c r="M48" s="5"/>
    </row>
    <row r="49" customFormat="false" ht="15" hidden="false" customHeight="true" outlineLevel="0" collapsed="false">
      <c r="A49" s="5" t="n">
        <v>45</v>
      </c>
      <c r="B49" s="5" t="s">
        <v>1881</v>
      </c>
      <c r="C49" s="5" t="s">
        <v>1748</v>
      </c>
      <c r="D49" s="5" t="s">
        <v>1896</v>
      </c>
      <c r="E49" s="5" t="s">
        <v>1897</v>
      </c>
      <c r="F49" s="5" t="s">
        <v>1751</v>
      </c>
      <c r="G49" s="5" t="s">
        <v>1898</v>
      </c>
      <c r="H49" s="5" t="s">
        <v>1885</v>
      </c>
      <c r="I49" s="5" t="s">
        <v>1092</v>
      </c>
      <c r="J49" s="5" t="s">
        <v>1899</v>
      </c>
      <c r="K49" s="5" t="s">
        <v>177</v>
      </c>
      <c r="L49" s="4" t="s">
        <v>115</v>
      </c>
      <c r="M49" s="5"/>
    </row>
    <row r="50" customFormat="false" ht="15" hidden="false" customHeight="true" outlineLevel="0" collapsed="false">
      <c r="A50" s="5" t="n">
        <v>46</v>
      </c>
      <c r="B50" s="5" t="s">
        <v>1881</v>
      </c>
      <c r="C50" s="5" t="s">
        <v>1772</v>
      </c>
      <c r="D50" s="5" t="s">
        <v>1900</v>
      </c>
      <c r="E50" s="5" t="s">
        <v>1800</v>
      </c>
      <c r="F50" s="5" t="s">
        <v>1774</v>
      </c>
      <c r="G50" s="5" t="s">
        <v>1901</v>
      </c>
      <c r="H50" s="5" t="s">
        <v>1885</v>
      </c>
      <c r="I50" s="5" t="s">
        <v>1776</v>
      </c>
      <c r="J50" s="5" t="s">
        <v>1902</v>
      </c>
      <c r="K50" s="5" t="s">
        <v>103</v>
      </c>
      <c r="L50" s="4" t="s">
        <v>177</v>
      </c>
      <c r="M50" s="5" t="s">
        <v>1903</v>
      </c>
    </row>
    <row r="51" customFormat="false" ht="15" hidden="false" customHeight="true" outlineLevel="0" collapsed="false">
      <c r="A51" s="5" t="n">
        <v>47</v>
      </c>
      <c r="B51" s="5" t="s">
        <v>1904</v>
      </c>
      <c r="C51" s="5" t="s">
        <v>1748</v>
      </c>
      <c r="D51" s="5" t="s">
        <v>1905</v>
      </c>
      <c r="E51" s="5" t="s">
        <v>1796</v>
      </c>
      <c r="F51" s="5" t="s">
        <v>1774</v>
      </c>
      <c r="G51" s="5" t="s">
        <v>1906</v>
      </c>
      <c r="H51" s="5" t="s">
        <v>1907</v>
      </c>
      <c r="I51" s="5" t="s">
        <v>1776</v>
      </c>
      <c r="J51" s="5" t="s">
        <v>1902</v>
      </c>
      <c r="K51" s="5" t="s">
        <v>103</v>
      </c>
      <c r="L51" s="4" t="s">
        <v>177</v>
      </c>
      <c r="M51" s="5" t="s">
        <v>1908</v>
      </c>
    </row>
    <row r="52" customFormat="false" ht="15" hidden="false" customHeight="true" outlineLevel="0" collapsed="false">
      <c r="A52" s="5" t="n">
        <v>48</v>
      </c>
      <c r="B52" s="5" t="s">
        <v>1909</v>
      </c>
      <c r="C52" s="5" t="s">
        <v>1772</v>
      </c>
      <c r="D52" s="5" t="s">
        <v>1910</v>
      </c>
      <c r="E52" s="5" t="s">
        <v>115</v>
      </c>
      <c r="F52" s="5" t="s">
        <v>1834</v>
      </c>
      <c r="G52" s="5" t="s">
        <v>1911</v>
      </c>
      <c r="H52" s="5" t="s">
        <v>1912</v>
      </c>
      <c r="I52" s="5" t="s">
        <v>1092</v>
      </c>
      <c r="J52" s="5" t="s">
        <v>220</v>
      </c>
      <c r="K52" s="5" t="s">
        <v>177</v>
      </c>
      <c r="L52" s="4" t="s">
        <v>115</v>
      </c>
      <c r="M52" s="5"/>
    </row>
    <row r="53" customFormat="false" ht="15" hidden="false" customHeight="true" outlineLevel="0" collapsed="false">
      <c r="A53" s="5" t="n">
        <v>49</v>
      </c>
      <c r="B53" s="5" t="s">
        <v>1909</v>
      </c>
      <c r="C53" s="5" t="s">
        <v>1748</v>
      </c>
      <c r="D53" s="5" t="s">
        <v>1913</v>
      </c>
      <c r="E53" s="5" t="s">
        <v>1796</v>
      </c>
      <c r="F53" s="5" t="s">
        <v>1774</v>
      </c>
      <c r="G53" s="5" t="s">
        <v>1914</v>
      </c>
      <c r="H53" s="5" t="s">
        <v>1912</v>
      </c>
      <c r="I53" s="5" t="s">
        <v>1092</v>
      </c>
      <c r="J53" s="5" t="s">
        <v>1915</v>
      </c>
      <c r="K53" s="5" t="s">
        <v>177</v>
      </c>
      <c r="L53" s="4" t="s">
        <v>115</v>
      </c>
      <c r="M53" s="5" t="s">
        <v>1916</v>
      </c>
    </row>
    <row r="54" customFormat="false" ht="15" hidden="false" customHeight="true" outlineLevel="0" collapsed="false">
      <c r="A54" s="5" t="n">
        <v>50</v>
      </c>
      <c r="B54" s="5" t="s">
        <v>1909</v>
      </c>
      <c r="C54" s="5" t="s">
        <v>1748</v>
      </c>
      <c r="D54" s="5" t="s">
        <v>1917</v>
      </c>
      <c r="E54" s="5" t="s">
        <v>1918</v>
      </c>
      <c r="F54" s="5" t="s">
        <v>1751</v>
      </c>
      <c r="G54" s="5" t="s">
        <v>1919</v>
      </c>
      <c r="H54" s="5" t="s">
        <v>1912</v>
      </c>
      <c r="I54" s="5" t="s">
        <v>1092</v>
      </c>
      <c r="J54" s="5" t="s">
        <v>1920</v>
      </c>
      <c r="K54" s="5" t="s">
        <v>177</v>
      </c>
      <c r="L54" s="4" t="s">
        <v>115</v>
      </c>
      <c r="M54" s="5"/>
    </row>
    <row r="55" customFormat="false" ht="15" hidden="false" customHeight="true" outlineLevel="0" collapsed="false">
      <c r="A55" s="5" t="n">
        <v>51</v>
      </c>
      <c r="B55" s="5" t="s">
        <v>1909</v>
      </c>
      <c r="C55" s="5" t="s">
        <v>1748</v>
      </c>
      <c r="D55" s="5" t="s">
        <v>1921</v>
      </c>
      <c r="E55" s="5" t="s">
        <v>1922</v>
      </c>
      <c r="F55" s="5" t="s">
        <v>1751</v>
      </c>
      <c r="G55" s="5" t="s">
        <v>1923</v>
      </c>
      <c r="H55" s="5" t="s">
        <v>1912</v>
      </c>
      <c r="I55" s="5" t="s">
        <v>1092</v>
      </c>
      <c r="J55" s="5" t="s">
        <v>1924</v>
      </c>
      <c r="K55" s="5" t="s">
        <v>177</v>
      </c>
      <c r="L55" s="4" t="s">
        <v>115</v>
      </c>
      <c r="M55" s="5"/>
    </row>
    <row r="56" customFormat="false" ht="45.75" hidden="false" customHeight="true" outlineLevel="0" collapsed="false">
      <c r="A56" s="5" t="n">
        <v>52</v>
      </c>
      <c r="B56" s="5" t="s">
        <v>1909</v>
      </c>
      <c r="C56" s="5" t="s">
        <v>1925</v>
      </c>
      <c r="D56" s="5" t="s">
        <v>1926</v>
      </c>
      <c r="E56" s="5" t="s">
        <v>1927</v>
      </c>
      <c r="F56" s="5" t="s">
        <v>115</v>
      </c>
      <c r="G56" s="5" t="s">
        <v>1928</v>
      </c>
      <c r="H56" s="5" t="s">
        <v>1912</v>
      </c>
      <c r="I56" s="5" t="s">
        <v>1092</v>
      </c>
      <c r="J56" s="5" t="s">
        <v>1929</v>
      </c>
      <c r="K56" s="5" t="s">
        <v>177</v>
      </c>
      <c r="L56" s="4" t="s">
        <v>115</v>
      </c>
      <c r="M56" s="5" t="s">
        <v>1547</v>
      </c>
    </row>
    <row r="57" customFormat="false" ht="34.5" hidden="false" customHeight="true" outlineLevel="0" collapsed="false">
      <c r="A57" s="5" t="n">
        <v>53</v>
      </c>
      <c r="B57" s="5" t="s">
        <v>1930</v>
      </c>
      <c r="C57" s="5" t="s">
        <v>1925</v>
      </c>
      <c r="D57" s="5" t="s">
        <v>1931</v>
      </c>
      <c r="E57" s="5" t="s">
        <v>115</v>
      </c>
      <c r="F57" s="5" t="s">
        <v>115</v>
      </c>
      <c r="G57" s="5" t="s">
        <v>115</v>
      </c>
      <c r="H57" s="5" t="s">
        <v>115</v>
      </c>
      <c r="I57" s="5" t="s">
        <v>1547</v>
      </c>
      <c r="J57" s="5" t="s">
        <v>115</v>
      </c>
      <c r="K57" s="5" t="s">
        <v>177</v>
      </c>
      <c r="L57" s="4" t="s">
        <v>115</v>
      </c>
      <c r="M57" s="5" t="s">
        <v>1932</v>
      </c>
    </row>
  </sheetData>
  <autoFilter ref="A4:M57"/>
  <conditionalFormatting sqref="I5:I57">
    <cfRule type="cellIs" priority="2" operator="equal" aboveAverage="0" equalAverage="0" bottom="0" percent="0" rank="0" text="" dxfId="1">
      <formula>"جاهز"</formula>
    </cfRule>
    <cfRule type="cellIs" priority="3" operator="equal" aboveAverage="0" equalAverage="0" bottom="0" percent="0" rank="0" text="" dxfId="0">
      <formula>"يحتاج تصحيح"</formula>
    </cfRule>
    <cfRule type="cellIs" priority="4" operator="equal" aboveAverage="0" equalAverage="0" bottom="0" percent="0" rank="0" text="" dxfId="0">
      <formula>"ناقص"</formula>
    </cfRule>
    <cfRule type="cellIs" priority="5" operator="equal" aboveAverage="0" equalAverage="0" bottom="0" percent="0" rank="0" text="" dxfId="2">
      <formula>"يحتاج تحقق"</formula>
    </cfRule>
    <cfRule type="cellIs" priority="6" operator="equal" aboveAverage="0" equalAverage="0" bottom="0" percent="0" rank="0" text="" dxfId="4">
      <formula>"خارج النطاق"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L5:L57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70"/>
    <col collapsed="false" customWidth="true" hidden="false" outlineLevel="0" max="4" min="4" style="1" width="44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26"/>
  </cols>
  <sheetData>
    <row r="1" customFormat="false" ht="18" hidden="false" customHeight="true" outlineLevel="0" collapsed="false">
      <c r="A1" s="2" t="s">
        <v>1933</v>
      </c>
    </row>
    <row r="2" customFormat="false" ht="15" hidden="false" customHeight="true" outlineLevel="0" collapsed="false">
      <c r="A2" s="7" t="s">
        <v>1934</v>
      </c>
    </row>
    <row r="4" customFormat="false" ht="31.5" hidden="false" customHeight="true" outlineLevel="0" collapsed="false">
      <c r="A4" s="16" t="s">
        <v>382</v>
      </c>
      <c r="B4" s="16" t="s">
        <v>1743</v>
      </c>
      <c r="C4" s="16" t="s">
        <v>1935</v>
      </c>
      <c r="D4" s="16" t="s">
        <v>1936</v>
      </c>
      <c r="E4" s="16" t="s">
        <v>1937</v>
      </c>
      <c r="F4" s="16" t="s">
        <v>1393</v>
      </c>
      <c r="G4" s="16" t="s">
        <v>71</v>
      </c>
      <c r="H4" s="16" t="s">
        <v>85</v>
      </c>
    </row>
    <row r="5" customFormat="false" ht="34.5" hidden="false" customHeight="true" outlineLevel="0" collapsed="false">
      <c r="A5" s="17" t="s">
        <v>1938</v>
      </c>
      <c r="B5" s="5" t="s">
        <v>1753</v>
      </c>
      <c r="C5" s="5" t="s">
        <v>1939</v>
      </c>
      <c r="D5" s="5" t="s">
        <v>1940</v>
      </c>
      <c r="E5" s="5" t="s">
        <v>1941</v>
      </c>
      <c r="F5" s="5" t="s">
        <v>1942</v>
      </c>
      <c r="G5" s="4" t="s">
        <v>1943</v>
      </c>
      <c r="H5" s="4"/>
    </row>
    <row r="6" customFormat="false" ht="15" hidden="false" customHeight="true" outlineLevel="0" collapsed="false">
      <c r="A6" s="17" t="s">
        <v>1944</v>
      </c>
      <c r="B6" s="5" t="s">
        <v>1753</v>
      </c>
      <c r="C6" s="5" t="s">
        <v>1945</v>
      </c>
      <c r="D6" s="5" t="s">
        <v>1946</v>
      </c>
      <c r="E6" s="5" t="s">
        <v>1941</v>
      </c>
      <c r="F6" s="5" t="s">
        <v>1942</v>
      </c>
      <c r="G6" s="4" t="s">
        <v>1943</v>
      </c>
      <c r="H6" s="4"/>
    </row>
    <row r="7" customFormat="false" ht="15" hidden="false" customHeight="true" outlineLevel="0" collapsed="false">
      <c r="A7" s="17" t="s">
        <v>1947</v>
      </c>
      <c r="B7" s="5" t="s">
        <v>1753</v>
      </c>
      <c r="C7" s="5" t="s">
        <v>1948</v>
      </c>
      <c r="D7" s="5" t="s">
        <v>1949</v>
      </c>
      <c r="E7" s="5" t="s">
        <v>1941</v>
      </c>
      <c r="F7" s="5" t="s">
        <v>1942</v>
      </c>
      <c r="G7" s="4" t="s">
        <v>1943</v>
      </c>
      <c r="H7" s="4"/>
    </row>
    <row r="8" customFormat="false" ht="23.25" hidden="false" customHeight="true" outlineLevel="0" collapsed="false">
      <c r="A8" s="17" t="s">
        <v>1950</v>
      </c>
      <c r="B8" s="5" t="s">
        <v>1753</v>
      </c>
      <c r="C8" s="5" t="s">
        <v>1951</v>
      </c>
      <c r="D8" s="5" t="s">
        <v>1952</v>
      </c>
      <c r="E8" s="5" t="s">
        <v>1953</v>
      </c>
      <c r="F8" s="5" t="s">
        <v>1954</v>
      </c>
      <c r="G8" s="4" t="s">
        <v>1943</v>
      </c>
      <c r="H8" s="4"/>
    </row>
    <row r="9" customFormat="false" ht="23.25" hidden="false" customHeight="true" outlineLevel="0" collapsed="false">
      <c r="A9" s="17" t="s">
        <v>1955</v>
      </c>
      <c r="B9" s="5" t="s">
        <v>1753</v>
      </c>
      <c r="C9" s="5" t="s">
        <v>1956</v>
      </c>
      <c r="D9" s="5" t="s">
        <v>1957</v>
      </c>
      <c r="E9" s="5" t="s">
        <v>1958</v>
      </c>
      <c r="F9" s="5" t="s">
        <v>1942</v>
      </c>
      <c r="G9" s="4" t="s">
        <v>1943</v>
      </c>
      <c r="H9" s="4"/>
    </row>
    <row r="10" customFormat="false" ht="15" hidden="false" customHeight="true" outlineLevel="0" collapsed="false">
      <c r="A10" s="17" t="s">
        <v>1959</v>
      </c>
      <c r="B10" s="5" t="s">
        <v>1817</v>
      </c>
      <c r="C10" s="5" t="s">
        <v>1960</v>
      </c>
      <c r="D10" s="5" t="s">
        <v>1961</v>
      </c>
      <c r="E10" s="5" t="s">
        <v>1962</v>
      </c>
      <c r="F10" s="5" t="s">
        <v>1954</v>
      </c>
      <c r="G10" s="4" t="s">
        <v>1943</v>
      </c>
      <c r="H10" s="4"/>
    </row>
    <row r="11" customFormat="false" ht="15" hidden="false" customHeight="true" outlineLevel="0" collapsed="false">
      <c r="A11" s="17" t="s">
        <v>1963</v>
      </c>
      <c r="B11" s="5" t="s">
        <v>1793</v>
      </c>
      <c r="C11" s="5" t="s">
        <v>1964</v>
      </c>
      <c r="D11" s="5" t="s">
        <v>1965</v>
      </c>
      <c r="E11" s="5" t="s">
        <v>1966</v>
      </c>
      <c r="F11" s="5" t="s">
        <v>1942</v>
      </c>
      <c r="G11" s="4" t="s">
        <v>1943</v>
      </c>
      <c r="H11" s="4"/>
    </row>
    <row r="12" customFormat="false" ht="23.25" hidden="false" customHeight="true" outlineLevel="0" collapsed="false">
      <c r="A12" s="17" t="s">
        <v>1967</v>
      </c>
      <c r="B12" s="5" t="s">
        <v>1847</v>
      </c>
      <c r="C12" s="5" t="s">
        <v>1968</v>
      </c>
      <c r="D12" s="5" t="s">
        <v>1965</v>
      </c>
      <c r="E12" s="5" t="s">
        <v>1969</v>
      </c>
      <c r="F12" s="5" t="s">
        <v>1942</v>
      </c>
      <c r="G12" s="4" t="s">
        <v>1943</v>
      </c>
      <c r="H12" s="4"/>
    </row>
    <row r="13" customFormat="false" ht="15" hidden="false" customHeight="true" outlineLevel="0" collapsed="false">
      <c r="A13" s="17" t="s">
        <v>1970</v>
      </c>
      <c r="B13" s="5" t="s">
        <v>1753</v>
      </c>
      <c r="C13" s="5" t="s">
        <v>1971</v>
      </c>
      <c r="D13" s="5" t="s">
        <v>1965</v>
      </c>
      <c r="E13" s="5" t="s">
        <v>1972</v>
      </c>
      <c r="F13" s="5" t="s">
        <v>1954</v>
      </c>
      <c r="G13" s="4" t="s">
        <v>1943</v>
      </c>
      <c r="H13" s="4"/>
    </row>
    <row r="14" customFormat="false" ht="15" hidden="false" customHeight="true" outlineLevel="0" collapsed="false">
      <c r="A14" s="17" t="s">
        <v>1973</v>
      </c>
      <c r="B14" s="5" t="s">
        <v>1974</v>
      </c>
      <c r="C14" s="5" t="s">
        <v>1975</v>
      </c>
      <c r="D14" s="5" t="s">
        <v>1976</v>
      </c>
      <c r="E14" s="5" t="s">
        <v>1977</v>
      </c>
      <c r="F14" s="5" t="s">
        <v>1407</v>
      </c>
      <c r="G14" s="4" t="s">
        <v>1943</v>
      </c>
      <c r="H14" s="4"/>
    </row>
    <row r="15" customFormat="false" ht="15" hidden="false" customHeight="true" outlineLevel="0" collapsed="false">
      <c r="A15" s="17" t="s">
        <v>1978</v>
      </c>
      <c r="B15" s="5" t="s">
        <v>1979</v>
      </c>
      <c r="C15" s="5" t="s">
        <v>1980</v>
      </c>
      <c r="D15" s="5" t="s">
        <v>1981</v>
      </c>
      <c r="E15" s="5" t="s">
        <v>1982</v>
      </c>
      <c r="F15" s="5" t="s">
        <v>1954</v>
      </c>
      <c r="G15" s="4" t="s">
        <v>1943</v>
      </c>
      <c r="H15" s="4"/>
    </row>
    <row r="16" customFormat="false" ht="15" hidden="false" customHeight="true" outlineLevel="0" collapsed="false">
      <c r="A16" s="17" t="s">
        <v>1983</v>
      </c>
      <c r="B16" s="5" t="s">
        <v>1984</v>
      </c>
      <c r="C16" s="5" t="s">
        <v>1985</v>
      </c>
      <c r="D16" s="5" t="s">
        <v>1435</v>
      </c>
      <c r="E16" s="5" t="s">
        <v>1986</v>
      </c>
      <c r="F16" s="5" t="s">
        <v>1954</v>
      </c>
      <c r="G16" s="4" t="s">
        <v>1943</v>
      </c>
      <c r="H16" s="4"/>
    </row>
    <row r="17" customFormat="false" ht="15" hidden="false" customHeight="true" outlineLevel="0" collapsed="false">
      <c r="A17" s="17" t="s">
        <v>1987</v>
      </c>
      <c r="B17" s="5" t="s">
        <v>1988</v>
      </c>
      <c r="C17" s="5" t="s">
        <v>1989</v>
      </c>
      <c r="D17" s="5" t="s">
        <v>1990</v>
      </c>
      <c r="E17" s="5" t="s">
        <v>1991</v>
      </c>
      <c r="F17" s="5" t="s">
        <v>1954</v>
      </c>
      <c r="G17" s="4" t="s">
        <v>1943</v>
      </c>
      <c r="H17" s="4"/>
    </row>
    <row r="18" customFormat="false" ht="23.25" hidden="false" customHeight="true" outlineLevel="0" collapsed="false">
      <c r="A18" s="17" t="s">
        <v>1992</v>
      </c>
      <c r="B18" s="5" t="s">
        <v>1993</v>
      </c>
      <c r="C18" s="5" t="s">
        <v>1994</v>
      </c>
      <c r="D18" s="5" t="s">
        <v>1995</v>
      </c>
      <c r="E18" s="5" t="s">
        <v>115</v>
      </c>
      <c r="F18" s="5" t="s">
        <v>1996</v>
      </c>
      <c r="G18" s="4" t="s">
        <v>1943</v>
      </c>
      <c r="H18" s="4"/>
    </row>
    <row r="19" customFormat="false" ht="15" hidden="false" customHeight="true" outlineLevel="0" collapsed="false">
      <c r="A19" s="17" t="s">
        <v>1997</v>
      </c>
      <c r="B19" s="5" t="s">
        <v>1998</v>
      </c>
      <c r="C19" s="5" t="s">
        <v>1999</v>
      </c>
      <c r="D19" s="5" t="s">
        <v>2000</v>
      </c>
      <c r="E19" s="5" t="s">
        <v>2001</v>
      </c>
      <c r="F19" s="5" t="s">
        <v>1942</v>
      </c>
      <c r="G19" s="4" t="s">
        <v>1943</v>
      </c>
      <c r="H19" s="4"/>
    </row>
    <row r="20" customFormat="false" ht="23.25" hidden="false" customHeight="true" outlineLevel="0" collapsed="false">
      <c r="A20" s="17" t="s">
        <v>2002</v>
      </c>
      <c r="B20" s="5" t="s">
        <v>2003</v>
      </c>
      <c r="C20" s="5" t="s">
        <v>2004</v>
      </c>
      <c r="D20" s="5" t="s">
        <v>2005</v>
      </c>
      <c r="E20" s="5" t="s">
        <v>2006</v>
      </c>
      <c r="F20" s="5" t="s">
        <v>1954</v>
      </c>
      <c r="G20" s="4" t="s">
        <v>1943</v>
      </c>
      <c r="H20" s="4"/>
    </row>
    <row r="21" customFormat="false" ht="15" hidden="false" customHeight="true" outlineLevel="0" collapsed="false">
      <c r="A21" s="17" t="s">
        <v>2007</v>
      </c>
      <c r="B21" s="5" t="s">
        <v>2008</v>
      </c>
      <c r="C21" s="5" t="s">
        <v>2009</v>
      </c>
      <c r="D21" s="5" t="s">
        <v>2010</v>
      </c>
      <c r="E21" s="5" t="s">
        <v>115</v>
      </c>
      <c r="F21" s="5" t="s">
        <v>1996</v>
      </c>
      <c r="G21" s="4" t="s">
        <v>1943</v>
      </c>
      <c r="H21" s="4"/>
    </row>
  </sheetData>
  <conditionalFormatting sqref="F5:F21">
    <cfRule type="cellIs" priority="2" operator="equal" aboveAverage="0" equalAverage="0" bottom="0" percent="0" rank="0" text="" dxfId="0">
      <formula>"حرج"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G5:G51" type="list">
      <formula1>Lists!$H$2:$H$4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J3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4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9"/>
    <col collapsed="false" customWidth="true" hidden="false" outlineLevel="0" max="6" min="6" style="1" width="40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40"/>
    <col collapsed="false" customWidth="true" hidden="false" outlineLevel="0" max="10" min="10" style="1" width="12"/>
  </cols>
  <sheetData>
    <row r="1" customFormat="false" ht="18" hidden="false" customHeight="true" outlineLevel="0" collapsed="false">
      <c r="A1" s="2" t="s">
        <v>2011</v>
      </c>
    </row>
    <row r="2" customFormat="false" ht="15" hidden="false" customHeight="true" outlineLevel="0" collapsed="false">
      <c r="A2" s="7" t="s">
        <v>2012</v>
      </c>
    </row>
    <row r="4" customFormat="false" ht="31.5" hidden="false" customHeight="true" outlineLevel="0" collapsed="false">
      <c r="A4" s="16" t="s">
        <v>382</v>
      </c>
      <c r="B4" s="16" t="s">
        <v>2013</v>
      </c>
      <c r="C4" s="16" t="s">
        <v>2014</v>
      </c>
      <c r="D4" s="16" t="s">
        <v>2015</v>
      </c>
      <c r="E4" s="16" t="s">
        <v>1393</v>
      </c>
      <c r="F4" s="16" t="s">
        <v>2016</v>
      </c>
      <c r="G4" s="16" t="s">
        <v>2017</v>
      </c>
      <c r="H4" s="16" t="s">
        <v>71</v>
      </c>
      <c r="I4" s="16" t="s">
        <v>2018</v>
      </c>
      <c r="J4" s="16" t="s">
        <v>2019</v>
      </c>
    </row>
    <row r="5" customFormat="false" ht="23.25" hidden="false" customHeight="true" outlineLevel="0" collapsed="false">
      <c r="A5" s="17" t="s">
        <v>148</v>
      </c>
      <c r="B5" s="5" t="s">
        <v>2020</v>
      </c>
      <c r="C5" s="5" t="s">
        <v>2021</v>
      </c>
      <c r="D5" s="5" t="s">
        <v>206</v>
      </c>
      <c r="E5" s="5" t="s">
        <v>2022</v>
      </c>
      <c r="F5" s="5" t="s">
        <v>2023</v>
      </c>
      <c r="G5" s="5" t="s">
        <v>2024</v>
      </c>
      <c r="H5" s="4" t="s">
        <v>2025</v>
      </c>
      <c r="I5" s="4" t="s">
        <v>2026</v>
      </c>
      <c r="J5" s="18" t="s">
        <v>94</v>
      </c>
    </row>
    <row r="6" customFormat="false" ht="23.25" hidden="false" customHeight="true" outlineLevel="0" collapsed="false">
      <c r="A6" s="17" t="s">
        <v>155</v>
      </c>
      <c r="B6" s="5" t="s">
        <v>2027</v>
      </c>
      <c r="C6" s="5" t="s">
        <v>2028</v>
      </c>
      <c r="D6" s="5" t="s">
        <v>1803</v>
      </c>
      <c r="E6" s="5" t="s">
        <v>2022</v>
      </c>
      <c r="F6" s="5" t="s">
        <v>2029</v>
      </c>
      <c r="G6" s="5" t="s">
        <v>2024</v>
      </c>
      <c r="H6" s="4" t="s">
        <v>1943</v>
      </c>
      <c r="I6" s="4"/>
      <c r="J6" s="18"/>
    </row>
    <row r="7" customFormat="false" ht="23.25" hidden="false" customHeight="true" outlineLevel="0" collapsed="false">
      <c r="A7" s="17" t="s">
        <v>2030</v>
      </c>
      <c r="B7" s="5" t="s">
        <v>2031</v>
      </c>
      <c r="C7" s="5" t="s">
        <v>2032</v>
      </c>
      <c r="D7" s="5" t="s">
        <v>206</v>
      </c>
      <c r="E7" s="5" t="s">
        <v>2022</v>
      </c>
      <c r="F7" s="5" t="s">
        <v>2033</v>
      </c>
      <c r="G7" s="5" t="s">
        <v>2024</v>
      </c>
      <c r="H7" s="4" t="s">
        <v>1943</v>
      </c>
      <c r="I7" s="4"/>
      <c r="J7" s="18"/>
    </row>
    <row r="8" customFormat="false" ht="23.25" hidden="false" customHeight="true" outlineLevel="0" collapsed="false">
      <c r="A8" s="17" t="s">
        <v>168</v>
      </c>
      <c r="B8" s="5" t="s">
        <v>2034</v>
      </c>
      <c r="C8" s="5" t="s">
        <v>2035</v>
      </c>
      <c r="D8" s="5" t="s">
        <v>1902</v>
      </c>
      <c r="E8" s="5" t="s">
        <v>2022</v>
      </c>
      <c r="F8" s="5" t="s">
        <v>2036</v>
      </c>
      <c r="G8" s="5" t="s">
        <v>2024</v>
      </c>
      <c r="H8" s="4" t="s">
        <v>1943</v>
      </c>
      <c r="I8" s="4"/>
      <c r="J8" s="18"/>
    </row>
    <row r="9" customFormat="false" ht="45.75" hidden="false" customHeight="true" outlineLevel="0" collapsed="false">
      <c r="A9" s="17" t="s">
        <v>2037</v>
      </c>
      <c r="B9" s="5" t="s">
        <v>2038</v>
      </c>
      <c r="C9" s="5" t="s">
        <v>2039</v>
      </c>
      <c r="D9" s="5" t="s">
        <v>2040</v>
      </c>
      <c r="E9" s="5" t="s">
        <v>2022</v>
      </c>
      <c r="F9" s="5" t="s">
        <v>2041</v>
      </c>
      <c r="G9" s="5" t="s">
        <v>2042</v>
      </c>
      <c r="H9" s="4" t="s">
        <v>2025</v>
      </c>
      <c r="I9" s="4" t="s">
        <v>2043</v>
      </c>
      <c r="J9" s="18" t="s">
        <v>94</v>
      </c>
    </row>
    <row r="10" customFormat="false" ht="23.25" hidden="false" customHeight="true" outlineLevel="0" collapsed="false">
      <c r="A10" s="17" t="s">
        <v>109</v>
      </c>
      <c r="B10" s="5" t="s">
        <v>2044</v>
      </c>
      <c r="C10" s="5" t="s">
        <v>2045</v>
      </c>
      <c r="D10" s="5" t="s">
        <v>2046</v>
      </c>
      <c r="E10" s="5" t="s">
        <v>1954</v>
      </c>
      <c r="F10" s="5" t="s">
        <v>2047</v>
      </c>
      <c r="G10" s="5" t="s">
        <v>2024</v>
      </c>
      <c r="H10" s="4" t="s">
        <v>2025</v>
      </c>
      <c r="I10" s="4" t="s">
        <v>2048</v>
      </c>
      <c r="J10" s="18" t="s">
        <v>94</v>
      </c>
    </row>
    <row r="11" customFormat="false" ht="23.25" hidden="false" customHeight="true" outlineLevel="0" collapsed="false">
      <c r="A11" s="17" t="s">
        <v>2049</v>
      </c>
      <c r="B11" s="5" t="s">
        <v>2050</v>
      </c>
      <c r="C11" s="5" t="s">
        <v>2051</v>
      </c>
      <c r="D11" s="5" t="s">
        <v>220</v>
      </c>
      <c r="E11" s="5" t="s">
        <v>1954</v>
      </c>
      <c r="F11" s="5" t="s">
        <v>2052</v>
      </c>
      <c r="G11" s="5" t="s">
        <v>2053</v>
      </c>
      <c r="H11" s="4" t="s">
        <v>2025</v>
      </c>
      <c r="I11" s="4" t="s">
        <v>2054</v>
      </c>
      <c r="J11" s="18" t="s">
        <v>94</v>
      </c>
    </row>
    <row r="12" customFormat="false" ht="23.25" hidden="false" customHeight="true" outlineLevel="0" collapsed="false">
      <c r="A12" s="17" t="s">
        <v>2055</v>
      </c>
      <c r="B12" s="5" t="s">
        <v>2056</v>
      </c>
      <c r="C12" s="5" t="s">
        <v>2057</v>
      </c>
      <c r="D12" s="5" t="s">
        <v>222</v>
      </c>
      <c r="E12" s="5" t="s">
        <v>1954</v>
      </c>
      <c r="F12" s="5" t="s">
        <v>2058</v>
      </c>
      <c r="G12" s="5" t="s">
        <v>2024</v>
      </c>
      <c r="H12" s="4" t="s">
        <v>2025</v>
      </c>
      <c r="I12" s="4" t="s">
        <v>2059</v>
      </c>
      <c r="J12" s="18" t="s">
        <v>94</v>
      </c>
    </row>
    <row r="13" customFormat="false" ht="15" hidden="false" customHeight="true" outlineLevel="0" collapsed="false">
      <c r="A13" s="17" t="s">
        <v>2060</v>
      </c>
      <c r="B13" s="5" t="s">
        <v>2061</v>
      </c>
      <c r="C13" s="5" t="s">
        <v>2062</v>
      </c>
      <c r="D13" s="5" t="s">
        <v>224</v>
      </c>
      <c r="E13" s="5" t="s">
        <v>1954</v>
      </c>
      <c r="F13" s="5" t="s">
        <v>2063</v>
      </c>
      <c r="G13" s="5" t="s">
        <v>2024</v>
      </c>
      <c r="H13" s="4" t="s">
        <v>2025</v>
      </c>
      <c r="I13" s="4" t="s">
        <v>2064</v>
      </c>
      <c r="J13" s="18" t="s">
        <v>94</v>
      </c>
    </row>
    <row r="14" customFormat="false" ht="15" hidden="false" customHeight="true" outlineLevel="0" collapsed="false">
      <c r="A14" s="17" t="s">
        <v>2065</v>
      </c>
      <c r="B14" s="5" t="s">
        <v>2066</v>
      </c>
      <c r="C14" s="5" t="s">
        <v>2067</v>
      </c>
      <c r="D14" s="5" t="s">
        <v>226</v>
      </c>
      <c r="E14" s="5" t="s">
        <v>2068</v>
      </c>
      <c r="F14" s="5" t="s">
        <v>2069</v>
      </c>
      <c r="G14" s="5" t="s">
        <v>2024</v>
      </c>
      <c r="H14" s="4" t="s">
        <v>2025</v>
      </c>
      <c r="I14" s="4" t="s">
        <v>2070</v>
      </c>
      <c r="J14" s="18" t="s">
        <v>94</v>
      </c>
    </row>
    <row r="15" customFormat="false" ht="23.25" hidden="false" customHeight="true" outlineLevel="0" collapsed="false">
      <c r="A15" s="17" t="s">
        <v>2071</v>
      </c>
      <c r="B15" s="5" t="s">
        <v>2072</v>
      </c>
      <c r="C15" s="5" t="s">
        <v>2073</v>
      </c>
      <c r="D15" s="5" t="s">
        <v>238</v>
      </c>
      <c r="E15" s="5" t="s">
        <v>1954</v>
      </c>
      <c r="F15" s="5" t="s">
        <v>2074</v>
      </c>
      <c r="G15" s="5" t="s">
        <v>2024</v>
      </c>
      <c r="H15" s="4" t="s">
        <v>2025</v>
      </c>
      <c r="I15" s="4" t="s">
        <v>2075</v>
      </c>
      <c r="J15" s="18" t="s">
        <v>94</v>
      </c>
    </row>
    <row r="16" customFormat="false" ht="15" hidden="false" customHeight="true" outlineLevel="0" collapsed="false">
      <c r="A16" s="17" t="s">
        <v>2076</v>
      </c>
      <c r="B16" s="5" t="s">
        <v>2077</v>
      </c>
      <c r="C16" s="5" t="s">
        <v>2078</v>
      </c>
      <c r="D16" s="5" t="s">
        <v>245</v>
      </c>
      <c r="E16" s="5" t="s">
        <v>2068</v>
      </c>
      <c r="F16" s="5" t="s">
        <v>2079</v>
      </c>
      <c r="G16" s="5" t="s">
        <v>2024</v>
      </c>
      <c r="H16" s="4" t="s">
        <v>1943</v>
      </c>
      <c r="I16" s="4"/>
      <c r="J16" s="18"/>
    </row>
    <row r="17" customFormat="false" ht="23.25" hidden="false" customHeight="true" outlineLevel="0" collapsed="false">
      <c r="A17" s="17" t="s">
        <v>2080</v>
      </c>
      <c r="B17" s="5" t="s">
        <v>2081</v>
      </c>
      <c r="C17" s="5" t="s">
        <v>2082</v>
      </c>
      <c r="D17" s="5" t="s">
        <v>218</v>
      </c>
      <c r="E17" s="5" t="s">
        <v>2068</v>
      </c>
      <c r="F17" s="5" t="s">
        <v>2083</v>
      </c>
      <c r="G17" s="5" t="s">
        <v>2024</v>
      </c>
      <c r="H17" s="4" t="s">
        <v>2025</v>
      </c>
      <c r="I17" s="4" t="s">
        <v>2084</v>
      </c>
      <c r="J17" s="18" t="s">
        <v>94</v>
      </c>
    </row>
    <row r="18" customFormat="false" ht="15" hidden="false" customHeight="true" outlineLevel="0" collapsed="false">
      <c r="A18" s="17" t="s">
        <v>2085</v>
      </c>
      <c r="B18" s="5" t="s">
        <v>2086</v>
      </c>
      <c r="C18" s="5" t="s">
        <v>2087</v>
      </c>
      <c r="D18" s="5" t="s">
        <v>2088</v>
      </c>
      <c r="E18" s="5" t="s">
        <v>2068</v>
      </c>
      <c r="F18" s="5" t="s">
        <v>2089</v>
      </c>
      <c r="G18" s="5" t="s">
        <v>2053</v>
      </c>
      <c r="H18" s="4" t="s">
        <v>1943</v>
      </c>
      <c r="I18" s="4"/>
      <c r="J18" s="18"/>
    </row>
    <row r="19" customFormat="false" ht="23.25" hidden="false" customHeight="true" outlineLevel="0" collapsed="false">
      <c r="A19" s="17" t="s">
        <v>2090</v>
      </c>
      <c r="B19" s="5" t="s">
        <v>2091</v>
      </c>
      <c r="C19" s="5" t="s">
        <v>2092</v>
      </c>
      <c r="D19" s="5" t="s">
        <v>250</v>
      </c>
      <c r="E19" s="5" t="s">
        <v>2022</v>
      </c>
      <c r="F19" s="5" t="s">
        <v>115</v>
      </c>
      <c r="G19" s="5" t="s">
        <v>2093</v>
      </c>
      <c r="H19" s="4" t="s">
        <v>1943</v>
      </c>
      <c r="I19" s="4"/>
      <c r="J19" s="18"/>
    </row>
    <row r="20" customFormat="false" ht="15" hidden="false" customHeight="true" outlineLevel="0" collapsed="false">
      <c r="A20" s="17" t="s">
        <v>2094</v>
      </c>
      <c r="B20" s="5" t="s">
        <v>2095</v>
      </c>
      <c r="C20" s="5" t="s">
        <v>2096</v>
      </c>
      <c r="D20" s="5" t="s">
        <v>2097</v>
      </c>
      <c r="E20" s="5" t="s">
        <v>2068</v>
      </c>
      <c r="F20" s="5" t="s">
        <v>93</v>
      </c>
      <c r="G20" s="5" t="s">
        <v>515</v>
      </c>
      <c r="H20" s="4" t="s">
        <v>2025</v>
      </c>
      <c r="I20" s="4" t="s">
        <v>2098</v>
      </c>
      <c r="J20" s="18" t="s">
        <v>94</v>
      </c>
    </row>
    <row r="21" customFormat="false" ht="23.25" hidden="false" customHeight="true" outlineLevel="0" collapsed="false">
      <c r="A21" s="17" t="s">
        <v>2099</v>
      </c>
      <c r="B21" s="5" t="s">
        <v>2100</v>
      </c>
      <c r="C21" s="5" t="s">
        <v>2101</v>
      </c>
      <c r="D21" s="5" t="s">
        <v>1915</v>
      </c>
      <c r="E21" s="5" t="s">
        <v>1954</v>
      </c>
      <c r="F21" s="5" t="s">
        <v>2102</v>
      </c>
      <c r="G21" s="5" t="s">
        <v>2053</v>
      </c>
      <c r="H21" s="4" t="s">
        <v>2025</v>
      </c>
      <c r="I21" s="4" t="s">
        <v>2103</v>
      </c>
      <c r="J21" s="18" t="s">
        <v>94</v>
      </c>
    </row>
    <row r="22" customFormat="false" ht="23.25" hidden="false" customHeight="true" outlineLevel="0" collapsed="false">
      <c r="A22" s="17" t="s">
        <v>2104</v>
      </c>
      <c r="B22" s="5" t="s">
        <v>2105</v>
      </c>
      <c r="C22" s="5" t="s">
        <v>2106</v>
      </c>
      <c r="D22" s="5" t="s">
        <v>2107</v>
      </c>
      <c r="E22" s="5" t="s">
        <v>2068</v>
      </c>
      <c r="F22" s="5" t="s">
        <v>2108</v>
      </c>
      <c r="G22" s="5" t="s">
        <v>2024</v>
      </c>
      <c r="H22" s="4" t="s">
        <v>2025</v>
      </c>
      <c r="I22" s="4" t="s">
        <v>2109</v>
      </c>
      <c r="J22" s="18" t="s">
        <v>94</v>
      </c>
    </row>
    <row r="23" customFormat="false" ht="23.25" hidden="false" customHeight="true" outlineLevel="0" collapsed="false">
      <c r="A23" s="17" t="s">
        <v>2110</v>
      </c>
      <c r="B23" s="5" t="s">
        <v>2111</v>
      </c>
      <c r="C23" s="5" t="s">
        <v>2112</v>
      </c>
      <c r="D23" s="5" t="s">
        <v>220</v>
      </c>
      <c r="E23" s="5" t="s">
        <v>1954</v>
      </c>
      <c r="F23" s="5" t="s">
        <v>2113</v>
      </c>
      <c r="G23" s="5" t="s">
        <v>2024</v>
      </c>
      <c r="H23" s="4" t="s">
        <v>2025</v>
      </c>
      <c r="I23" s="4" t="s">
        <v>2114</v>
      </c>
      <c r="J23" s="18" t="s">
        <v>94</v>
      </c>
    </row>
    <row r="24" customFormat="false" ht="57" hidden="false" customHeight="true" outlineLevel="0" collapsed="false">
      <c r="A24" s="17" t="s">
        <v>2115</v>
      </c>
      <c r="B24" s="5" t="s">
        <v>2116</v>
      </c>
      <c r="C24" s="5" t="s">
        <v>2117</v>
      </c>
      <c r="D24" s="5" t="s">
        <v>2118</v>
      </c>
      <c r="E24" s="5" t="s">
        <v>2022</v>
      </c>
      <c r="F24" s="5" t="s">
        <v>2119</v>
      </c>
      <c r="G24" s="5" t="s">
        <v>2120</v>
      </c>
      <c r="H24" s="4" t="s">
        <v>1943</v>
      </c>
      <c r="I24" s="4" t="s">
        <v>2121</v>
      </c>
      <c r="J24" s="18" t="s">
        <v>4</v>
      </c>
    </row>
    <row r="25" customFormat="false" ht="34.5" hidden="false" customHeight="true" outlineLevel="0" collapsed="false">
      <c r="A25" s="17" t="s">
        <v>2122</v>
      </c>
      <c r="B25" s="5" t="s">
        <v>2123</v>
      </c>
      <c r="C25" s="5" t="s">
        <v>2124</v>
      </c>
      <c r="D25" s="5" t="s">
        <v>2125</v>
      </c>
      <c r="E25" s="5" t="s">
        <v>2022</v>
      </c>
      <c r="F25" s="5" t="s">
        <v>2126</v>
      </c>
      <c r="G25" s="5" t="s">
        <v>2024</v>
      </c>
      <c r="H25" s="4" t="s">
        <v>1943</v>
      </c>
      <c r="I25" s="4" t="s">
        <v>2127</v>
      </c>
      <c r="J25" s="18" t="s">
        <v>4</v>
      </c>
    </row>
    <row r="26" customFormat="false" ht="23.25" hidden="false" customHeight="true" outlineLevel="0" collapsed="false">
      <c r="A26" s="17" t="s">
        <v>2128</v>
      </c>
      <c r="B26" s="5" t="s">
        <v>2129</v>
      </c>
      <c r="C26" s="5" t="s">
        <v>2130</v>
      </c>
      <c r="D26" s="5" t="s">
        <v>206</v>
      </c>
      <c r="E26" s="5" t="s">
        <v>2022</v>
      </c>
      <c r="F26" s="5" t="s">
        <v>2131</v>
      </c>
      <c r="G26" s="5" t="s">
        <v>2024</v>
      </c>
      <c r="H26" s="4" t="s">
        <v>1943</v>
      </c>
      <c r="I26" s="4" t="s">
        <v>2132</v>
      </c>
      <c r="J26" s="18" t="s">
        <v>4</v>
      </c>
    </row>
    <row r="27" customFormat="false" ht="23.25" hidden="false" customHeight="true" outlineLevel="0" collapsed="false">
      <c r="A27" s="17" t="s">
        <v>2133</v>
      </c>
      <c r="B27" s="5" t="s">
        <v>2134</v>
      </c>
      <c r="C27" s="5" t="s">
        <v>2135</v>
      </c>
      <c r="D27" s="5" t="s">
        <v>206</v>
      </c>
      <c r="E27" s="5" t="s">
        <v>2022</v>
      </c>
      <c r="F27" s="5" t="s">
        <v>2136</v>
      </c>
      <c r="G27" s="5" t="s">
        <v>2024</v>
      </c>
      <c r="H27" s="4" t="s">
        <v>1943</v>
      </c>
      <c r="I27" s="4"/>
      <c r="J27" s="18"/>
    </row>
    <row r="28" customFormat="false" ht="34.5" hidden="false" customHeight="true" outlineLevel="0" collapsed="false">
      <c r="A28" s="17" t="s">
        <v>2137</v>
      </c>
      <c r="B28" s="5" t="s">
        <v>2138</v>
      </c>
      <c r="C28" s="5" t="s">
        <v>2139</v>
      </c>
      <c r="D28" s="5" t="s">
        <v>2140</v>
      </c>
      <c r="E28" s="5" t="s">
        <v>2022</v>
      </c>
      <c r="F28" s="5" t="s">
        <v>2141</v>
      </c>
      <c r="G28" s="5" t="s">
        <v>2024</v>
      </c>
      <c r="H28" s="4" t="s">
        <v>1943</v>
      </c>
      <c r="I28" s="4"/>
      <c r="J28" s="18"/>
    </row>
    <row r="29" customFormat="false" ht="34.5" hidden="false" customHeight="true" outlineLevel="0" collapsed="false">
      <c r="A29" s="17" t="s">
        <v>2142</v>
      </c>
      <c r="B29" s="5" t="s">
        <v>2143</v>
      </c>
      <c r="C29" s="5" t="s">
        <v>2144</v>
      </c>
      <c r="D29" s="5" t="s">
        <v>2145</v>
      </c>
      <c r="E29" s="5" t="s">
        <v>1954</v>
      </c>
      <c r="F29" s="5" t="s">
        <v>115</v>
      </c>
      <c r="G29" s="5" t="s">
        <v>2146</v>
      </c>
      <c r="H29" s="4" t="s">
        <v>1943</v>
      </c>
      <c r="I29" s="4"/>
      <c r="J29" s="18"/>
    </row>
    <row r="30" customFormat="false" ht="34.5" hidden="false" customHeight="true" outlineLevel="0" collapsed="false">
      <c r="A30" s="17" t="s">
        <v>2147</v>
      </c>
      <c r="B30" s="5" t="s">
        <v>2148</v>
      </c>
      <c r="C30" s="5" t="s">
        <v>2145</v>
      </c>
      <c r="D30" s="5" t="s">
        <v>2145</v>
      </c>
      <c r="E30" s="5" t="s">
        <v>2068</v>
      </c>
      <c r="F30" s="5" t="s">
        <v>115</v>
      </c>
      <c r="G30" s="5" t="s">
        <v>2149</v>
      </c>
      <c r="H30" s="4" t="s">
        <v>1943</v>
      </c>
      <c r="I30" s="4"/>
      <c r="J30" s="18"/>
    </row>
    <row r="31" customFormat="false" ht="23.85" hidden="false" customHeight="false" outlineLevel="0" collapsed="false">
      <c r="A31" s="17" t="s">
        <v>2150</v>
      </c>
      <c r="B31" s="5" t="s">
        <v>2151</v>
      </c>
      <c r="C31" s="5" t="s">
        <v>2152</v>
      </c>
      <c r="D31" s="5" t="s">
        <v>243</v>
      </c>
      <c r="E31" s="5" t="s">
        <v>2068</v>
      </c>
      <c r="F31" s="5" t="s">
        <v>2153</v>
      </c>
      <c r="G31" s="5" t="s">
        <v>2024</v>
      </c>
      <c r="H31" s="4" t="s">
        <v>2025</v>
      </c>
      <c r="I31" s="4" t="s">
        <v>2154</v>
      </c>
      <c r="J31" s="18" t="s">
        <v>4</v>
      </c>
    </row>
    <row r="32" customFormat="false" ht="57.45" hidden="false" customHeight="false" outlineLevel="0" collapsed="false">
      <c r="A32" s="17" t="s">
        <v>2155</v>
      </c>
      <c r="B32" s="5" t="s">
        <v>2156</v>
      </c>
      <c r="C32" s="5" t="s">
        <v>2157</v>
      </c>
      <c r="D32" s="5" t="s">
        <v>216</v>
      </c>
      <c r="E32" s="5" t="s">
        <v>1954</v>
      </c>
      <c r="F32" s="5" t="s">
        <v>2158</v>
      </c>
      <c r="G32" s="5" t="s">
        <v>2024</v>
      </c>
      <c r="H32" s="4" t="s">
        <v>2025</v>
      </c>
      <c r="I32" s="4" t="s">
        <v>2159</v>
      </c>
      <c r="J32" s="18" t="s">
        <v>4</v>
      </c>
    </row>
    <row r="33" customFormat="false" ht="23.85" hidden="false" customHeight="false" outlineLevel="0" collapsed="false">
      <c r="A33" s="17" t="s">
        <v>2160</v>
      </c>
      <c r="B33" s="5" t="s">
        <v>2161</v>
      </c>
      <c r="C33" s="5" t="s">
        <v>2162</v>
      </c>
      <c r="D33" s="5" t="s">
        <v>2163</v>
      </c>
      <c r="E33" s="5" t="s">
        <v>1954</v>
      </c>
      <c r="F33" s="5" t="s">
        <v>2164</v>
      </c>
      <c r="G33" s="5" t="s">
        <v>2024</v>
      </c>
      <c r="H33" s="4" t="s">
        <v>1943</v>
      </c>
      <c r="I33" s="4"/>
      <c r="J33" s="18"/>
    </row>
    <row r="34" customFormat="false" ht="23.85" hidden="false" customHeight="false" outlineLevel="0" collapsed="false">
      <c r="A34" s="17" t="s">
        <v>2165</v>
      </c>
      <c r="B34" s="5" t="s">
        <v>2166</v>
      </c>
      <c r="C34" s="5" t="s">
        <v>2167</v>
      </c>
      <c r="D34" s="5" t="s">
        <v>2168</v>
      </c>
      <c r="E34" s="5" t="s">
        <v>2022</v>
      </c>
      <c r="F34" s="5" t="s">
        <v>2169</v>
      </c>
      <c r="G34" s="5" t="s">
        <v>2024</v>
      </c>
      <c r="H34" s="4" t="s">
        <v>1943</v>
      </c>
      <c r="I34" s="4"/>
      <c r="J34" s="18"/>
    </row>
    <row r="35" customFormat="false" ht="23.85" hidden="false" customHeight="false" outlineLevel="0" collapsed="false">
      <c r="A35" s="17" t="s">
        <v>2170</v>
      </c>
      <c r="B35" s="5" t="s">
        <v>2171</v>
      </c>
      <c r="C35" s="5" t="s">
        <v>2172</v>
      </c>
      <c r="D35" s="5" t="s">
        <v>216</v>
      </c>
      <c r="E35" s="5" t="s">
        <v>2068</v>
      </c>
      <c r="F35" s="5" t="s">
        <v>2173</v>
      </c>
      <c r="G35" s="5" t="s">
        <v>2024</v>
      </c>
      <c r="H35" s="4" t="s">
        <v>1943</v>
      </c>
      <c r="I35" s="4"/>
      <c r="J35" s="18"/>
    </row>
    <row r="36" customFormat="false" ht="23.85" hidden="false" customHeight="false" outlineLevel="0" collapsed="false">
      <c r="A36" s="17" t="s">
        <v>2174</v>
      </c>
      <c r="B36" s="5" t="s">
        <v>2175</v>
      </c>
      <c r="C36" s="5" t="s">
        <v>2176</v>
      </c>
      <c r="D36" s="5" t="s">
        <v>2177</v>
      </c>
      <c r="E36" s="5" t="s">
        <v>1954</v>
      </c>
      <c r="F36" s="5" t="s">
        <v>115</v>
      </c>
      <c r="G36" s="5" t="s">
        <v>515</v>
      </c>
      <c r="H36" s="4" t="s">
        <v>1943</v>
      </c>
      <c r="I36" s="4"/>
      <c r="J36" s="18"/>
    </row>
    <row r="37" customFormat="false" ht="23.85" hidden="false" customHeight="false" outlineLevel="0" collapsed="false">
      <c r="A37" s="17" t="s">
        <v>2178</v>
      </c>
      <c r="B37" s="5" t="s">
        <v>2179</v>
      </c>
      <c r="C37" s="5" t="s">
        <v>2180</v>
      </c>
      <c r="D37" s="5" t="s">
        <v>2181</v>
      </c>
      <c r="E37" s="5" t="s">
        <v>1954</v>
      </c>
      <c r="F37" s="5" t="s">
        <v>2182</v>
      </c>
      <c r="G37" s="5" t="s">
        <v>2053</v>
      </c>
      <c r="H37" s="4" t="s">
        <v>1943</v>
      </c>
      <c r="I37" s="4"/>
      <c r="J37" s="18"/>
    </row>
  </sheetData>
  <conditionalFormatting sqref="E5:E60">
    <cfRule type="cellIs" priority="2" operator="equal" aboveAverage="0" equalAverage="0" bottom="0" percent="0" rank="0" text="" dxfId="0">
      <formula>"حاجب"</formula>
    </cfRule>
  </conditionalFormatting>
  <conditionalFormatting sqref="H5:H60">
    <cfRule type="cellIs" priority="3" operator="equal" aboveAverage="0" equalAverage="0" bottom="0" percent="0" rank="0" text="" dxfId="1">
      <formula>"تمت الإجابة"</formula>
    </cfRule>
  </conditionalFormatting>
  <dataValidations count="2">
    <dataValidation allowBlank="true" error="اختر من القائمة" errorStyle="stop" errorTitle="قيمة غير مسموحة" operator="between" showDropDown="false" showErrorMessage="true" showInputMessage="false" sqref="H5:H60" type="list">
      <formula1>Lists!$E$2:$E$3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E5:E60" type="list">
      <formula1>Lists!$F$2:$F$4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66"/>
    <col collapsed="false" customWidth="true" hidden="false" outlineLevel="0" max="4" min="4" style="1" width="34"/>
    <col collapsed="false" customWidth="true" hidden="false" outlineLevel="0" max="5" min="5" style="1" width="64"/>
  </cols>
  <sheetData>
    <row r="1" customFormat="false" ht="19.5" hidden="false" customHeight="true" outlineLevel="0" collapsed="false">
      <c r="A1" s="2" t="s">
        <v>2183</v>
      </c>
    </row>
    <row r="4" customFormat="false" ht="31.5" hidden="false" customHeight="true" outlineLevel="0" collapsed="false">
      <c r="A4" s="16" t="s">
        <v>382</v>
      </c>
      <c r="B4" s="16" t="s">
        <v>77</v>
      </c>
      <c r="C4" s="16" t="s">
        <v>76</v>
      </c>
      <c r="D4" s="16" t="s">
        <v>2184</v>
      </c>
      <c r="E4" s="16" t="s">
        <v>2185</v>
      </c>
    </row>
    <row r="5" customFormat="false" ht="23.25" hidden="false" customHeight="true" outlineLevel="0" collapsed="false">
      <c r="A5" s="17" t="s">
        <v>2186</v>
      </c>
      <c r="B5" s="5" t="s">
        <v>2187</v>
      </c>
      <c r="C5" s="5" t="s">
        <v>2188</v>
      </c>
      <c r="D5" s="5" t="s">
        <v>2189</v>
      </c>
      <c r="E5" s="5" t="s">
        <v>2190</v>
      </c>
    </row>
    <row r="6" customFormat="false" ht="15" hidden="false" customHeight="true" outlineLevel="0" collapsed="false">
      <c r="A6" s="17" t="s">
        <v>2191</v>
      </c>
      <c r="B6" s="5" t="s">
        <v>2187</v>
      </c>
      <c r="C6" s="5" t="s">
        <v>2192</v>
      </c>
      <c r="D6" s="5" t="s">
        <v>2193</v>
      </c>
      <c r="E6" s="5" t="s">
        <v>2194</v>
      </c>
    </row>
    <row r="7" customFormat="false" ht="15" hidden="false" customHeight="true" outlineLevel="0" collapsed="false">
      <c r="A7" s="17" t="s">
        <v>2195</v>
      </c>
      <c r="B7" s="5" t="s">
        <v>2187</v>
      </c>
      <c r="C7" s="5" t="s">
        <v>2196</v>
      </c>
      <c r="D7" s="5" t="s">
        <v>2197</v>
      </c>
      <c r="E7" s="5" t="s">
        <v>2198</v>
      </c>
    </row>
    <row r="8" customFormat="false" ht="15" hidden="false" customHeight="true" outlineLevel="0" collapsed="false">
      <c r="A8" s="17" t="s">
        <v>2199</v>
      </c>
      <c r="B8" s="5" t="s">
        <v>2187</v>
      </c>
      <c r="C8" s="5" t="s">
        <v>2200</v>
      </c>
      <c r="D8" s="5" t="s">
        <v>2201</v>
      </c>
      <c r="E8" s="5" t="s">
        <v>2202</v>
      </c>
    </row>
    <row r="9" customFormat="false" ht="15" hidden="false" customHeight="true" outlineLevel="0" collapsed="false">
      <c r="A9" s="17" t="s">
        <v>2203</v>
      </c>
      <c r="B9" s="5" t="s">
        <v>2187</v>
      </c>
      <c r="C9" s="5" t="s">
        <v>2204</v>
      </c>
      <c r="D9" s="5" t="s">
        <v>2205</v>
      </c>
      <c r="E9" s="5" t="s">
        <v>2206</v>
      </c>
    </row>
    <row r="10" customFormat="false" ht="23.25" hidden="false" customHeight="true" outlineLevel="0" collapsed="false">
      <c r="A10" s="17" t="s">
        <v>2207</v>
      </c>
      <c r="B10" s="5" t="s">
        <v>2208</v>
      </c>
      <c r="C10" s="5" t="s">
        <v>2209</v>
      </c>
      <c r="D10" s="5" t="s">
        <v>2210</v>
      </c>
      <c r="E10" s="5" t="s">
        <v>2211</v>
      </c>
    </row>
    <row r="11" customFormat="false" ht="15" hidden="false" customHeight="true" outlineLevel="0" collapsed="false">
      <c r="A11" s="17" t="s">
        <v>2212</v>
      </c>
      <c r="B11" s="5" t="s">
        <v>2208</v>
      </c>
      <c r="C11" s="5" t="s">
        <v>2213</v>
      </c>
      <c r="D11" s="5" t="s">
        <v>2214</v>
      </c>
      <c r="E11" s="5" t="s">
        <v>2215</v>
      </c>
    </row>
    <row r="12" customFormat="false" ht="15" hidden="false" customHeight="true" outlineLevel="0" collapsed="false">
      <c r="A12" s="17" t="s">
        <v>2216</v>
      </c>
      <c r="B12" s="5" t="s">
        <v>2187</v>
      </c>
      <c r="C12" s="5" t="s">
        <v>2217</v>
      </c>
      <c r="D12" s="5" t="s">
        <v>2218</v>
      </c>
      <c r="E12" s="5" t="s">
        <v>2219</v>
      </c>
    </row>
    <row r="13" customFormat="false" ht="15" hidden="false" customHeight="true" outlineLevel="0" collapsed="false">
      <c r="A13" s="17" t="s">
        <v>2220</v>
      </c>
      <c r="B13" s="5" t="s">
        <v>2187</v>
      </c>
      <c r="C13" s="5" t="s">
        <v>2221</v>
      </c>
      <c r="D13" s="5" t="s">
        <v>2222</v>
      </c>
      <c r="E13" s="5" t="s">
        <v>2223</v>
      </c>
    </row>
    <row r="14" customFormat="false" ht="15" hidden="false" customHeight="true" outlineLevel="0" collapsed="false">
      <c r="A14" s="17" t="s">
        <v>2224</v>
      </c>
      <c r="B14" s="5" t="s">
        <v>2208</v>
      </c>
      <c r="C14" s="5" t="s">
        <v>2225</v>
      </c>
      <c r="D14" s="5" t="s">
        <v>2226</v>
      </c>
      <c r="E14" s="5" t="s">
        <v>2227</v>
      </c>
    </row>
    <row r="15" customFormat="false" ht="23.25" hidden="false" customHeight="true" outlineLevel="0" collapsed="false">
      <c r="A15" s="17" t="s">
        <v>2228</v>
      </c>
      <c r="B15" s="5" t="s">
        <v>2208</v>
      </c>
      <c r="C15" s="5" t="s">
        <v>2229</v>
      </c>
      <c r="D15" s="5" t="s">
        <v>2230</v>
      </c>
      <c r="E15" s="5" t="s">
        <v>2231</v>
      </c>
    </row>
    <row r="16" customFormat="false" ht="15" hidden="false" customHeight="true" outlineLevel="0" collapsed="false">
      <c r="A16" s="17" t="s">
        <v>2232</v>
      </c>
      <c r="B16" s="5" t="s">
        <v>2187</v>
      </c>
      <c r="C16" s="5" t="s">
        <v>2233</v>
      </c>
      <c r="D16" s="5" t="s">
        <v>2234</v>
      </c>
      <c r="E16" s="5" t="s">
        <v>2235</v>
      </c>
    </row>
    <row r="17" customFormat="false" ht="15" hidden="false" customHeight="true" outlineLevel="0" collapsed="false">
      <c r="A17" s="17" t="s">
        <v>2236</v>
      </c>
      <c r="B17" s="5" t="s">
        <v>2187</v>
      </c>
      <c r="C17" s="5" t="s">
        <v>2237</v>
      </c>
      <c r="D17" s="5" t="s">
        <v>2238</v>
      </c>
      <c r="E17" s="5" t="s">
        <v>2239</v>
      </c>
    </row>
    <row r="18" customFormat="false" ht="23.25" hidden="false" customHeight="true" outlineLevel="0" collapsed="false">
      <c r="A18" s="17" t="s">
        <v>2240</v>
      </c>
      <c r="B18" s="5" t="s">
        <v>2208</v>
      </c>
      <c r="C18" s="5" t="s">
        <v>2241</v>
      </c>
      <c r="D18" s="5" t="s">
        <v>2242</v>
      </c>
      <c r="E18" s="5" t="s">
        <v>2243</v>
      </c>
    </row>
    <row r="19" customFormat="false" ht="23.25" hidden="false" customHeight="true" outlineLevel="0" collapsed="false">
      <c r="A19" s="17" t="s">
        <v>2244</v>
      </c>
      <c r="B19" s="5" t="s">
        <v>2187</v>
      </c>
      <c r="C19" s="5" t="s">
        <v>2245</v>
      </c>
      <c r="D19" s="5" t="s">
        <v>2246</v>
      </c>
      <c r="E19" s="5" t="s">
        <v>2247</v>
      </c>
    </row>
    <row r="20" customFormat="false" ht="23.25" hidden="false" customHeight="true" outlineLevel="0" collapsed="false">
      <c r="A20" s="17" t="s">
        <v>2248</v>
      </c>
      <c r="B20" s="5" t="s">
        <v>2187</v>
      </c>
      <c r="C20" s="5" t="s">
        <v>2249</v>
      </c>
      <c r="D20" s="5" t="s">
        <v>2250</v>
      </c>
      <c r="E20" s="5" t="s">
        <v>2251</v>
      </c>
    </row>
    <row r="21" customFormat="false" ht="23.25" hidden="false" customHeight="true" outlineLevel="0" collapsed="false">
      <c r="A21" s="17" t="s">
        <v>2252</v>
      </c>
      <c r="B21" s="5" t="s">
        <v>2187</v>
      </c>
      <c r="C21" s="5" t="s">
        <v>2253</v>
      </c>
      <c r="D21" s="5" t="s">
        <v>2254</v>
      </c>
      <c r="E21" s="5" t="s">
        <v>2255</v>
      </c>
    </row>
    <row r="22" customFormat="false" ht="34.5" hidden="false" customHeight="true" outlineLevel="0" collapsed="false">
      <c r="A22" s="17" t="s">
        <v>2256</v>
      </c>
      <c r="B22" s="5" t="s">
        <v>2187</v>
      </c>
      <c r="C22" s="5" t="s">
        <v>2257</v>
      </c>
      <c r="D22" s="5" t="s">
        <v>2258</v>
      </c>
      <c r="E22" s="5" t="s">
        <v>2259</v>
      </c>
    </row>
    <row r="23" customFormat="false" ht="34.5" hidden="false" customHeight="true" outlineLevel="0" collapsed="false">
      <c r="A23" s="17" t="s">
        <v>2260</v>
      </c>
      <c r="B23" s="5" t="s">
        <v>2187</v>
      </c>
      <c r="C23" s="5" t="s">
        <v>2261</v>
      </c>
      <c r="D23" s="5" t="s">
        <v>2262</v>
      </c>
      <c r="E23" s="5" t="s">
        <v>2263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4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4" min="4" style="1" width="38"/>
    <col collapsed="false" customWidth="true" hidden="false" outlineLevel="0" max="5" min="5" style="1" width="48"/>
    <col collapsed="false" customWidth="true" hidden="false" outlineLevel="0" max="6" min="6" style="1" width="40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28"/>
  </cols>
  <sheetData>
    <row r="1" customFormat="false" ht="18" hidden="false" customHeight="true" outlineLevel="0" collapsed="false">
      <c r="A1" s="2" t="s">
        <v>2264</v>
      </c>
    </row>
    <row r="2" customFormat="false" ht="15" hidden="false" customHeight="true" outlineLevel="0" collapsed="false">
      <c r="A2" s="7" t="s">
        <v>2265</v>
      </c>
    </row>
    <row r="4" customFormat="false" ht="31.5" hidden="false" customHeight="true" outlineLevel="0" collapsed="false">
      <c r="A4" s="16" t="s">
        <v>2266</v>
      </c>
      <c r="B4" s="16" t="s">
        <v>1190</v>
      </c>
      <c r="C4" s="16" t="s">
        <v>2267</v>
      </c>
      <c r="D4" s="16" t="s">
        <v>2268</v>
      </c>
      <c r="E4" s="16" t="s">
        <v>2269</v>
      </c>
      <c r="F4" s="16" t="s">
        <v>2270</v>
      </c>
      <c r="G4" s="16" t="s">
        <v>71</v>
      </c>
      <c r="H4" s="16" t="s">
        <v>2271</v>
      </c>
      <c r="I4" s="16" t="s">
        <v>85</v>
      </c>
    </row>
    <row r="5" customFormat="false" ht="15" hidden="false" customHeight="true" outlineLevel="0" collapsed="false">
      <c r="A5" s="5" t="s">
        <v>2272</v>
      </c>
      <c r="B5" s="5" t="s">
        <v>2273</v>
      </c>
      <c r="C5" s="5" t="s">
        <v>2274</v>
      </c>
      <c r="D5" s="5" t="s">
        <v>931</v>
      </c>
      <c r="E5" s="5" t="s">
        <v>2275</v>
      </c>
      <c r="F5" s="5" t="s">
        <v>2276</v>
      </c>
      <c r="G5" s="4" t="s">
        <v>2277</v>
      </c>
      <c r="H5" s="5" t="s">
        <v>115</v>
      </c>
      <c r="I5" s="5" t="s">
        <v>2278</v>
      </c>
    </row>
    <row r="6" customFormat="false" ht="15" hidden="false" customHeight="true" outlineLevel="0" collapsed="false">
      <c r="A6" s="5" t="s">
        <v>2279</v>
      </c>
      <c r="B6" s="18" t="s">
        <v>4</v>
      </c>
      <c r="C6" s="4" t="s">
        <v>216</v>
      </c>
      <c r="D6" s="4" t="s">
        <v>2280</v>
      </c>
      <c r="E6" s="4" t="s">
        <v>2281</v>
      </c>
      <c r="F6" s="4" t="s">
        <v>2282</v>
      </c>
      <c r="G6" s="4" t="s">
        <v>1943</v>
      </c>
      <c r="H6" s="4" t="s">
        <v>115</v>
      </c>
      <c r="I6" s="4" t="s">
        <v>2283</v>
      </c>
    </row>
    <row r="7" customFormat="false" ht="15" hidden="false" customHeight="true" outlineLevel="0" collapsed="false">
      <c r="A7" s="5" t="s">
        <v>2284</v>
      </c>
      <c r="B7" s="18" t="s">
        <v>4</v>
      </c>
      <c r="C7" s="4" t="s">
        <v>243</v>
      </c>
      <c r="D7" s="4" t="s">
        <v>437</v>
      </c>
      <c r="E7" s="4" t="s">
        <v>2285</v>
      </c>
      <c r="F7" s="4" t="s">
        <v>2286</v>
      </c>
      <c r="G7" s="4" t="s">
        <v>1943</v>
      </c>
      <c r="H7" s="4" t="s">
        <v>115</v>
      </c>
      <c r="I7" s="4" t="s">
        <v>2287</v>
      </c>
    </row>
    <row r="8" customFormat="false" ht="15" hidden="false" customHeight="true" outlineLevel="0" collapsed="false">
      <c r="A8" s="5" t="s">
        <v>2288</v>
      </c>
      <c r="B8" s="18" t="s">
        <v>4</v>
      </c>
      <c r="C8" s="4" t="s">
        <v>216</v>
      </c>
      <c r="D8" s="4" t="s">
        <v>2289</v>
      </c>
      <c r="E8" s="4" t="s">
        <v>2290</v>
      </c>
      <c r="F8" s="4" t="s">
        <v>2291</v>
      </c>
      <c r="G8" s="4" t="s">
        <v>1943</v>
      </c>
      <c r="H8" s="4" t="s">
        <v>115</v>
      </c>
      <c r="I8" s="4" t="s">
        <v>2292</v>
      </c>
    </row>
    <row r="9" customFormat="false" ht="15" hidden="false" customHeight="true" outlineLevel="0" collapsed="false">
      <c r="A9" s="5" t="s">
        <v>2293</v>
      </c>
      <c r="B9" s="18" t="s">
        <v>4</v>
      </c>
      <c r="C9" s="4" t="s">
        <v>206</v>
      </c>
      <c r="D9" s="4" t="s">
        <v>2294</v>
      </c>
      <c r="E9" s="4" t="s">
        <v>2295</v>
      </c>
      <c r="F9" s="4" t="s">
        <v>2296</v>
      </c>
      <c r="G9" s="4" t="s">
        <v>1943</v>
      </c>
      <c r="H9" s="4" t="s">
        <v>115</v>
      </c>
      <c r="I9" s="4" t="s">
        <v>2297</v>
      </c>
    </row>
    <row r="10" customFormat="false" ht="15" hidden="false" customHeight="true" outlineLevel="0" collapsed="false">
      <c r="A10" s="5" t="s">
        <v>2298</v>
      </c>
      <c r="B10" s="18" t="s">
        <v>4</v>
      </c>
      <c r="C10" s="4" t="s">
        <v>2299</v>
      </c>
      <c r="D10" s="4" t="s">
        <v>2300</v>
      </c>
      <c r="E10" s="4" t="s">
        <v>2301</v>
      </c>
      <c r="F10" s="4" t="s">
        <v>2302</v>
      </c>
      <c r="G10" s="4" t="s">
        <v>1943</v>
      </c>
      <c r="H10" s="4" t="s">
        <v>115</v>
      </c>
      <c r="I10" s="4" t="s">
        <v>2303</v>
      </c>
    </row>
    <row r="11" customFormat="false" ht="15" hidden="false" customHeight="true" outlineLevel="0" collapsed="false">
      <c r="A11" s="5" t="s">
        <v>2304</v>
      </c>
      <c r="B11" s="18"/>
      <c r="C11" s="4"/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A12" s="5" t="s">
        <v>2305</v>
      </c>
      <c r="B12" s="18"/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A13" s="5" t="s">
        <v>2306</v>
      </c>
      <c r="B13" s="18"/>
      <c r="C13" s="4"/>
      <c r="D13" s="4"/>
      <c r="E13" s="4"/>
      <c r="F13" s="4"/>
      <c r="G13" s="4"/>
      <c r="H13" s="4"/>
      <c r="I13" s="4"/>
    </row>
    <row r="14" customFormat="false" ht="15" hidden="false" customHeight="true" outlineLevel="0" collapsed="false">
      <c r="A14" s="5" t="s">
        <v>2307</v>
      </c>
      <c r="B14" s="18"/>
      <c r="C14" s="4"/>
      <c r="D14" s="4"/>
      <c r="E14" s="4"/>
      <c r="F14" s="4"/>
      <c r="G14" s="4"/>
      <c r="H14" s="4"/>
      <c r="I14" s="4"/>
    </row>
    <row r="15" customFormat="false" ht="15" hidden="false" customHeight="true" outlineLevel="0" collapsed="false">
      <c r="A15" s="5" t="s">
        <v>2308</v>
      </c>
      <c r="B15" s="18"/>
      <c r="C15" s="4"/>
      <c r="D15" s="4"/>
      <c r="E15" s="4"/>
      <c r="F15" s="4"/>
      <c r="G15" s="4"/>
      <c r="H15" s="4"/>
      <c r="I15" s="4"/>
    </row>
    <row r="16" customFormat="false" ht="15" hidden="false" customHeight="true" outlineLevel="0" collapsed="false">
      <c r="A16" s="5" t="s">
        <v>2309</v>
      </c>
      <c r="B16" s="18"/>
      <c r="C16" s="4"/>
      <c r="D16" s="4"/>
      <c r="E16" s="4"/>
      <c r="F16" s="4"/>
      <c r="G16" s="4"/>
      <c r="H16" s="4"/>
      <c r="I16" s="4"/>
    </row>
    <row r="17" customFormat="false" ht="15" hidden="false" customHeight="true" outlineLevel="0" collapsed="false">
      <c r="A17" s="5" t="s">
        <v>2310</v>
      </c>
      <c r="B17" s="18"/>
      <c r="C17" s="4"/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A18" s="5" t="s">
        <v>2311</v>
      </c>
      <c r="B18" s="18"/>
      <c r="C18" s="4"/>
      <c r="D18" s="4"/>
      <c r="E18" s="4"/>
      <c r="F18" s="4"/>
      <c r="G18" s="4"/>
      <c r="H18" s="4"/>
      <c r="I18" s="4"/>
    </row>
    <row r="19" customFormat="false" ht="15" hidden="false" customHeight="true" outlineLevel="0" collapsed="false">
      <c r="A19" s="5" t="s">
        <v>2312</v>
      </c>
      <c r="B19" s="18"/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A20" s="5" t="s">
        <v>2313</v>
      </c>
      <c r="B20" s="18"/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A21" s="5" t="s">
        <v>2314</v>
      </c>
      <c r="B21" s="18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5" t="s">
        <v>2315</v>
      </c>
      <c r="B22" s="18"/>
      <c r="C22" s="4"/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A23" s="5" t="s">
        <v>2316</v>
      </c>
      <c r="B23" s="18"/>
      <c r="C23" s="4"/>
      <c r="D23" s="4"/>
      <c r="E23" s="4"/>
      <c r="F23" s="4"/>
      <c r="G23" s="4"/>
      <c r="H23" s="4"/>
      <c r="I23" s="4"/>
    </row>
    <row r="24" customFormat="false" ht="15" hidden="false" customHeight="true" outlineLevel="0" collapsed="false">
      <c r="A24" s="5" t="s">
        <v>2317</v>
      </c>
      <c r="B24" s="18"/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A25" s="5" t="s">
        <v>2318</v>
      </c>
      <c r="B25" s="18"/>
      <c r="C25" s="4"/>
      <c r="D25" s="4"/>
      <c r="E25" s="4"/>
      <c r="F25" s="4"/>
      <c r="G25" s="4"/>
      <c r="H25" s="4"/>
      <c r="I25" s="4"/>
    </row>
    <row r="26" customFormat="false" ht="15" hidden="false" customHeight="true" outlineLevel="0" collapsed="false">
      <c r="A26" s="5" t="s">
        <v>2319</v>
      </c>
      <c r="B26" s="18"/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A27" s="5" t="s">
        <v>2320</v>
      </c>
      <c r="B27" s="18"/>
      <c r="C27" s="4"/>
      <c r="D27" s="4"/>
      <c r="E27" s="4"/>
      <c r="F27" s="4"/>
      <c r="G27" s="4"/>
      <c r="H27" s="4"/>
      <c r="I27" s="4"/>
    </row>
    <row r="28" customFormat="false" ht="15" hidden="false" customHeight="true" outlineLevel="0" collapsed="false">
      <c r="A28" s="5" t="s">
        <v>2321</v>
      </c>
      <c r="B28" s="18"/>
      <c r="C28" s="4"/>
      <c r="D28" s="4"/>
      <c r="E28" s="4"/>
      <c r="F28" s="4"/>
      <c r="G28" s="4"/>
      <c r="H28" s="4"/>
      <c r="I28" s="4"/>
    </row>
    <row r="29" customFormat="false" ht="15" hidden="false" customHeight="true" outlineLevel="0" collapsed="false">
      <c r="A29" s="5" t="s">
        <v>2322</v>
      </c>
      <c r="B29" s="18"/>
      <c r="C29" s="4"/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A30" s="5" t="s">
        <v>2323</v>
      </c>
      <c r="B30" s="18"/>
      <c r="C30" s="4"/>
      <c r="D30" s="4"/>
      <c r="E30" s="4"/>
      <c r="F30" s="4"/>
      <c r="G30" s="4"/>
      <c r="H30" s="4"/>
      <c r="I30" s="4"/>
    </row>
    <row r="31" customFormat="false" ht="15" hidden="false" customHeight="true" outlineLevel="0" collapsed="false">
      <c r="A31" s="5" t="s">
        <v>2324</v>
      </c>
      <c r="B31" s="18"/>
      <c r="C31" s="4"/>
      <c r="D31" s="4"/>
      <c r="E31" s="4"/>
      <c r="F31" s="4"/>
      <c r="G31" s="4"/>
      <c r="H31" s="4"/>
      <c r="I31" s="4"/>
    </row>
    <row r="32" customFormat="false" ht="15" hidden="false" customHeight="true" outlineLevel="0" collapsed="false">
      <c r="A32" s="5" t="s">
        <v>2325</v>
      </c>
      <c r="B32" s="18"/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A33" s="5" t="s">
        <v>2326</v>
      </c>
      <c r="B33" s="18"/>
      <c r="C33" s="4"/>
      <c r="D33" s="4"/>
      <c r="E33" s="4"/>
      <c r="F33" s="4"/>
      <c r="G33" s="4"/>
      <c r="H33" s="4"/>
      <c r="I33" s="4"/>
    </row>
    <row r="34" customFormat="false" ht="15" hidden="false" customHeight="true" outlineLevel="0" collapsed="false">
      <c r="A34" s="5" t="s">
        <v>2327</v>
      </c>
      <c r="B34" s="18"/>
      <c r="C34" s="4"/>
      <c r="D34" s="4"/>
      <c r="E34" s="4"/>
      <c r="F34" s="4"/>
      <c r="G34" s="4"/>
      <c r="H34" s="4"/>
      <c r="I34" s="4"/>
    </row>
    <row r="35" customFormat="false" ht="15" hidden="false" customHeight="true" outlineLevel="0" collapsed="false">
      <c r="A35" s="5" t="s">
        <v>2328</v>
      </c>
      <c r="B35" s="18"/>
      <c r="C35" s="4"/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A36" s="5" t="s">
        <v>2329</v>
      </c>
      <c r="B36" s="18"/>
      <c r="C36" s="4"/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A37" s="5" t="s">
        <v>2330</v>
      </c>
      <c r="B37" s="18"/>
      <c r="C37" s="4"/>
      <c r="D37" s="4"/>
      <c r="E37" s="4"/>
      <c r="F37" s="4"/>
      <c r="G37" s="4"/>
      <c r="H37" s="4"/>
      <c r="I37" s="4"/>
    </row>
    <row r="38" customFormat="false" ht="15" hidden="false" customHeight="true" outlineLevel="0" collapsed="false">
      <c r="A38" s="5" t="s">
        <v>2331</v>
      </c>
      <c r="B38" s="18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A39" s="5" t="s">
        <v>2332</v>
      </c>
      <c r="B39" s="18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5" t="s">
        <v>2333</v>
      </c>
      <c r="B40" s="18"/>
      <c r="C40" s="4"/>
      <c r="D40" s="4"/>
      <c r="E40" s="4"/>
      <c r="F40" s="4"/>
      <c r="G40" s="4"/>
      <c r="H40" s="4"/>
      <c r="I40" s="4"/>
    </row>
  </sheetData>
  <dataValidations count="2">
    <dataValidation allowBlank="true" error="اختر من القائمة" errorStyle="stop" errorTitle="قيمة غير مسموحة" operator="between" showDropDown="false" showErrorMessage="true" showInputMessage="false" sqref="G6:G40" type="list">
      <formula1>Lists!$I$2:$I$5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C6:C40" type="list">
      <formula1>Lists!$J$2:$J$21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46"/>
    <col collapsed="false" customWidth="true" hidden="false" outlineLevel="0" max="7" min="7" style="1" width="32"/>
    <col collapsed="false" customWidth="true" hidden="false" outlineLevel="0" max="8" min="8" style="1" width="36"/>
    <col collapsed="false" customWidth="true" hidden="false" outlineLevel="0" max="9" min="9" style="1" width="18"/>
    <col collapsed="false" customWidth="true" hidden="false" outlineLevel="0" max="10" min="10" style="1" width="30"/>
    <col collapsed="false" customWidth="true" hidden="false" outlineLevel="0" max="11" min="11" style="1" width="12"/>
    <col collapsed="false" customWidth="true" hidden="false" outlineLevel="0" max="12" min="12" style="1" width="36"/>
    <col collapsed="false" customWidth="true" hidden="false" outlineLevel="0" max="13" min="13" style="1" width="12"/>
  </cols>
  <sheetData>
    <row r="1" customFormat="false" ht="18" hidden="false" customHeight="true" outlineLevel="0" collapsed="false">
      <c r="A1" s="2" t="s">
        <v>2334</v>
      </c>
    </row>
    <row r="2" customFormat="false" ht="15" hidden="false" customHeight="true" outlineLevel="0" collapsed="false">
      <c r="A2" s="7" t="s">
        <v>2335</v>
      </c>
    </row>
    <row r="4" customFormat="false" ht="31.5" hidden="false" customHeight="true" outlineLevel="0" collapsed="false">
      <c r="A4" s="16" t="s">
        <v>1388</v>
      </c>
      <c r="B4" s="16" t="s">
        <v>1190</v>
      </c>
      <c r="C4" s="16" t="s">
        <v>312</v>
      </c>
      <c r="D4" s="16" t="s">
        <v>67</v>
      </c>
      <c r="E4" s="16" t="s">
        <v>2336</v>
      </c>
      <c r="F4" s="16" t="s">
        <v>2337</v>
      </c>
      <c r="G4" s="16" t="s">
        <v>2338</v>
      </c>
      <c r="H4" s="16" t="s">
        <v>2339</v>
      </c>
      <c r="I4" s="16" t="s">
        <v>2340</v>
      </c>
      <c r="J4" s="16" t="s">
        <v>2341</v>
      </c>
      <c r="K4" s="16" t="s">
        <v>2342</v>
      </c>
      <c r="L4" s="16" t="s">
        <v>2343</v>
      </c>
      <c r="M4" s="16" t="s">
        <v>2344</v>
      </c>
    </row>
    <row r="5" customFormat="false" ht="34.5" hidden="false" customHeight="true" outlineLevel="0" collapsed="false">
      <c r="A5" s="5" t="n">
        <v>1</v>
      </c>
      <c r="B5" s="4" t="s">
        <v>94</v>
      </c>
      <c r="C5" s="4" t="s">
        <v>2345</v>
      </c>
      <c r="D5" s="4" t="s">
        <v>115</v>
      </c>
      <c r="E5" s="4" t="s">
        <v>2346</v>
      </c>
      <c r="F5" s="4" t="s">
        <v>2347</v>
      </c>
      <c r="G5" s="4" t="s">
        <v>115</v>
      </c>
      <c r="H5" s="4" t="s">
        <v>115</v>
      </c>
      <c r="I5" s="4" t="s">
        <v>2348</v>
      </c>
      <c r="J5" s="4" t="s">
        <v>2349</v>
      </c>
      <c r="K5" s="4" t="s">
        <v>115</v>
      </c>
      <c r="L5" s="4" t="s">
        <v>2350</v>
      </c>
      <c r="M5" s="4" t="s">
        <v>2351</v>
      </c>
    </row>
    <row r="6" customFormat="false" ht="34.5" hidden="false" customHeight="true" outlineLevel="0" collapsed="false">
      <c r="A6" s="5" t="n">
        <v>2</v>
      </c>
      <c r="B6" s="4" t="s">
        <v>94</v>
      </c>
      <c r="C6" s="4" t="s">
        <v>2352</v>
      </c>
      <c r="D6" s="4" t="s">
        <v>195</v>
      </c>
      <c r="E6" s="4" t="s">
        <v>2346</v>
      </c>
      <c r="F6" s="4" t="s">
        <v>2353</v>
      </c>
      <c r="G6" s="4" t="s">
        <v>115</v>
      </c>
      <c r="H6" s="4" t="s">
        <v>2354</v>
      </c>
      <c r="I6" s="4" t="s">
        <v>2355</v>
      </c>
      <c r="J6" s="4" t="s">
        <v>115</v>
      </c>
      <c r="K6" s="4" t="s">
        <v>115</v>
      </c>
      <c r="L6" s="4" t="s">
        <v>2356</v>
      </c>
      <c r="M6" s="4" t="s">
        <v>2357</v>
      </c>
    </row>
    <row r="7" customFormat="false" ht="45.75" hidden="false" customHeight="true" outlineLevel="0" collapsed="false">
      <c r="A7" s="5" t="n">
        <v>3</v>
      </c>
      <c r="B7" s="4" t="s">
        <v>94</v>
      </c>
      <c r="C7" s="4" t="s">
        <v>2358</v>
      </c>
      <c r="D7" s="4" t="s">
        <v>195</v>
      </c>
      <c r="E7" s="4" t="s">
        <v>405</v>
      </c>
      <c r="F7" s="4" t="s">
        <v>2359</v>
      </c>
      <c r="G7" s="4" t="s">
        <v>2360</v>
      </c>
      <c r="H7" s="4" t="s">
        <v>2361</v>
      </c>
      <c r="I7" s="4" t="s">
        <v>2362</v>
      </c>
      <c r="J7" s="4" t="s">
        <v>2363</v>
      </c>
      <c r="K7" s="4" t="s">
        <v>115</v>
      </c>
      <c r="L7" s="4" t="s">
        <v>2364</v>
      </c>
      <c r="M7" s="4" t="s">
        <v>2357</v>
      </c>
    </row>
    <row r="8" customFormat="false" ht="45.75" hidden="false" customHeight="true" outlineLevel="0" collapsed="false">
      <c r="A8" s="5" t="n">
        <v>4</v>
      </c>
      <c r="B8" s="4" t="s">
        <v>94</v>
      </c>
      <c r="C8" s="4" t="s">
        <v>2365</v>
      </c>
      <c r="D8" s="4" t="s">
        <v>2366</v>
      </c>
      <c r="E8" s="4" t="s">
        <v>515</v>
      </c>
      <c r="F8" s="4" t="s">
        <v>2367</v>
      </c>
      <c r="G8" s="4" t="s">
        <v>2368</v>
      </c>
      <c r="H8" s="4" t="s">
        <v>2369</v>
      </c>
      <c r="I8" s="4" t="s">
        <v>2370</v>
      </c>
      <c r="J8" s="4" t="s">
        <v>115</v>
      </c>
      <c r="K8" s="4" t="s">
        <v>115</v>
      </c>
      <c r="L8" s="4" t="s">
        <v>2371</v>
      </c>
      <c r="M8" s="4" t="s">
        <v>2357</v>
      </c>
    </row>
    <row r="9" customFormat="false" ht="45.75" hidden="false" customHeight="true" outlineLevel="0" collapsed="false">
      <c r="A9" s="5" t="n">
        <v>5</v>
      </c>
      <c r="B9" s="4" t="s">
        <v>94</v>
      </c>
      <c r="C9" s="4" t="s">
        <v>2372</v>
      </c>
      <c r="D9" s="4" t="s">
        <v>2373</v>
      </c>
      <c r="E9" s="4" t="s">
        <v>320</v>
      </c>
      <c r="F9" s="4" t="s">
        <v>2374</v>
      </c>
      <c r="G9" s="4" t="s">
        <v>2375</v>
      </c>
      <c r="H9" s="4" t="s">
        <v>2376</v>
      </c>
      <c r="I9" s="4" t="s">
        <v>2370</v>
      </c>
      <c r="J9" s="4" t="s">
        <v>2377</v>
      </c>
      <c r="K9" s="4" t="s">
        <v>115</v>
      </c>
      <c r="L9" s="4" t="s">
        <v>2378</v>
      </c>
      <c r="M9" s="4" t="s">
        <v>2357</v>
      </c>
    </row>
    <row r="10" customFormat="false" ht="34.5" hidden="false" customHeight="true" outlineLevel="0" collapsed="false">
      <c r="A10" s="5" t="n">
        <v>6</v>
      </c>
      <c r="B10" s="4" t="s">
        <v>94</v>
      </c>
      <c r="C10" s="4" t="s">
        <v>2379</v>
      </c>
      <c r="D10" s="4" t="s">
        <v>115</v>
      </c>
      <c r="E10" s="4" t="s">
        <v>2346</v>
      </c>
      <c r="F10" s="4" t="s">
        <v>2380</v>
      </c>
      <c r="G10" s="4" t="s">
        <v>115</v>
      </c>
      <c r="H10" s="4" t="s">
        <v>2381</v>
      </c>
      <c r="I10" s="4" t="s">
        <v>115</v>
      </c>
      <c r="J10" s="4" t="s">
        <v>2382</v>
      </c>
      <c r="K10" s="4" t="s">
        <v>115</v>
      </c>
      <c r="L10" s="4" t="s">
        <v>2383</v>
      </c>
      <c r="M10" s="4" t="s">
        <v>2357</v>
      </c>
    </row>
    <row r="11" customFormat="false" ht="34.5" hidden="false" customHeight="true" outlineLevel="0" collapsed="false">
      <c r="A11" s="5" t="n">
        <v>7</v>
      </c>
      <c r="B11" s="4" t="s">
        <v>94</v>
      </c>
      <c r="C11" s="4" t="s">
        <v>2384</v>
      </c>
      <c r="D11" s="4" t="s">
        <v>115</v>
      </c>
      <c r="E11" s="4" t="s">
        <v>2346</v>
      </c>
      <c r="F11" s="4" t="s">
        <v>2385</v>
      </c>
      <c r="G11" s="4" t="s">
        <v>115</v>
      </c>
      <c r="H11" s="4" t="s">
        <v>2386</v>
      </c>
      <c r="I11" s="4" t="s">
        <v>115</v>
      </c>
      <c r="J11" s="4" t="s">
        <v>115</v>
      </c>
      <c r="K11" s="4" t="s">
        <v>115</v>
      </c>
      <c r="L11" s="4" t="s">
        <v>2387</v>
      </c>
      <c r="M11" s="4" t="s">
        <v>2357</v>
      </c>
    </row>
    <row r="12" customFormat="false" ht="45.75" hidden="false" customHeight="true" outlineLevel="0" collapsed="false">
      <c r="A12" s="5" t="n">
        <v>8</v>
      </c>
      <c r="B12" s="4" t="s">
        <v>94</v>
      </c>
      <c r="C12" s="4" t="s">
        <v>2388</v>
      </c>
      <c r="D12" s="4" t="s">
        <v>2389</v>
      </c>
      <c r="E12" s="4" t="s">
        <v>405</v>
      </c>
      <c r="F12" s="4" t="s">
        <v>2390</v>
      </c>
      <c r="G12" s="4" t="s">
        <v>2391</v>
      </c>
      <c r="H12" s="4" t="s">
        <v>2392</v>
      </c>
      <c r="I12" s="4" t="s">
        <v>2370</v>
      </c>
      <c r="J12" s="4" t="s">
        <v>2393</v>
      </c>
      <c r="K12" s="4" t="s">
        <v>115</v>
      </c>
      <c r="L12" s="4" t="s">
        <v>2394</v>
      </c>
      <c r="M12" s="4" t="s">
        <v>2357</v>
      </c>
    </row>
    <row r="13" customFormat="false" ht="68.25" hidden="false" customHeight="true" outlineLevel="0" collapsed="false">
      <c r="A13" s="5" t="n">
        <v>9</v>
      </c>
      <c r="B13" s="4" t="s">
        <v>94</v>
      </c>
      <c r="C13" s="4" t="s">
        <v>2395</v>
      </c>
      <c r="D13" s="4" t="s">
        <v>2396</v>
      </c>
      <c r="E13" s="4" t="s">
        <v>405</v>
      </c>
      <c r="F13" s="4" t="s">
        <v>2397</v>
      </c>
      <c r="G13" s="4" t="s">
        <v>2398</v>
      </c>
      <c r="H13" s="4" t="s">
        <v>2399</v>
      </c>
      <c r="I13" s="4" t="s">
        <v>2400</v>
      </c>
      <c r="J13" s="4" t="s">
        <v>2401</v>
      </c>
      <c r="K13" s="4" t="s">
        <v>115</v>
      </c>
      <c r="L13" s="4" t="s">
        <v>2402</v>
      </c>
      <c r="M13" s="4" t="s">
        <v>2357</v>
      </c>
    </row>
    <row r="14" customFormat="false" ht="15" hidden="false" customHeight="true" outlineLevel="0" collapsed="false">
      <c r="A14" s="5" t="n">
        <v>10</v>
      </c>
      <c r="B14" s="18" t="s">
        <v>2403</v>
      </c>
      <c r="C14" s="4" t="s">
        <v>2404</v>
      </c>
      <c r="D14" s="4" t="s">
        <v>2405</v>
      </c>
      <c r="E14" s="4" t="s">
        <v>405</v>
      </c>
      <c r="F14" s="4" t="s">
        <v>2406</v>
      </c>
      <c r="G14" s="4" t="s">
        <v>2407</v>
      </c>
      <c r="H14" s="4" t="s">
        <v>2408</v>
      </c>
      <c r="I14" s="4" t="s">
        <v>2409</v>
      </c>
      <c r="J14" s="4" t="s">
        <v>2410</v>
      </c>
      <c r="K14" s="4" t="s">
        <v>115</v>
      </c>
      <c r="L14" s="4" t="s">
        <v>2411</v>
      </c>
      <c r="M14" s="4" t="s">
        <v>2</v>
      </c>
    </row>
    <row r="15" customFormat="false" ht="15" hidden="false" customHeight="true" outlineLevel="0" collapsed="false">
      <c r="A15" s="5" t="n">
        <v>11</v>
      </c>
      <c r="B15" s="18" t="s">
        <v>2403</v>
      </c>
      <c r="C15" s="4" t="s">
        <v>2412</v>
      </c>
      <c r="D15" s="4" t="s">
        <v>2413</v>
      </c>
      <c r="E15" s="4" t="s">
        <v>405</v>
      </c>
      <c r="F15" s="4" t="s">
        <v>2414</v>
      </c>
      <c r="G15" s="4" t="s">
        <v>2415</v>
      </c>
      <c r="H15" s="4" t="s">
        <v>2416</v>
      </c>
      <c r="I15" s="4" t="s">
        <v>2417</v>
      </c>
      <c r="J15" s="4" t="s">
        <v>2418</v>
      </c>
      <c r="K15" s="4" t="s">
        <v>2284</v>
      </c>
      <c r="L15" s="4" t="s">
        <v>2419</v>
      </c>
      <c r="M15" s="4" t="s">
        <v>2</v>
      </c>
    </row>
    <row r="16" customFormat="false" ht="15" hidden="false" customHeight="true" outlineLevel="0" collapsed="false">
      <c r="A16" s="5" t="n">
        <v>12</v>
      </c>
      <c r="B16" s="18" t="s">
        <v>2403</v>
      </c>
      <c r="C16" s="4" t="s">
        <v>2420</v>
      </c>
      <c r="D16" s="4" t="s">
        <v>218</v>
      </c>
      <c r="E16" s="4" t="s">
        <v>405</v>
      </c>
      <c r="F16" s="4" t="s">
        <v>2421</v>
      </c>
      <c r="G16" s="4" t="s">
        <v>2422</v>
      </c>
      <c r="H16" s="4" t="s">
        <v>2423</v>
      </c>
      <c r="I16" s="4" t="s">
        <v>2424</v>
      </c>
      <c r="J16" s="4" t="s">
        <v>2425</v>
      </c>
      <c r="K16" s="4" t="s">
        <v>115</v>
      </c>
      <c r="L16" s="4" t="s">
        <v>2426</v>
      </c>
      <c r="M16" s="4" t="s">
        <v>2</v>
      </c>
    </row>
    <row r="17" customFormat="false" ht="15" hidden="false" customHeight="true" outlineLevel="0" collapsed="false">
      <c r="A17" s="5" t="n">
        <v>13</v>
      </c>
      <c r="B17" s="18" t="s">
        <v>2403</v>
      </c>
      <c r="C17" s="4" t="s">
        <v>544</v>
      </c>
      <c r="D17" s="4" t="s">
        <v>2427</v>
      </c>
      <c r="E17" s="4" t="s">
        <v>405</v>
      </c>
      <c r="F17" s="4" t="s">
        <v>2428</v>
      </c>
      <c r="G17" s="4" t="s">
        <v>2429</v>
      </c>
      <c r="H17" s="4" t="s">
        <v>2430</v>
      </c>
      <c r="I17" s="4" t="s">
        <v>2431</v>
      </c>
      <c r="J17" s="4" t="s">
        <v>2432</v>
      </c>
      <c r="K17" s="4" t="s">
        <v>2433</v>
      </c>
      <c r="L17" s="4" t="s">
        <v>2419</v>
      </c>
      <c r="M17" s="4" t="s">
        <v>2</v>
      </c>
    </row>
    <row r="18" customFormat="false" ht="15" hidden="false" customHeight="true" outlineLevel="0" collapsed="false">
      <c r="A18" s="5" t="n">
        <v>14</v>
      </c>
      <c r="B18" s="18" t="s">
        <v>2434</v>
      </c>
      <c r="C18" s="4" t="s">
        <v>2435</v>
      </c>
      <c r="D18" s="4" t="s">
        <v>2436</v>
      </c>
      <c r="E18" s="4" t="s">
        <v>405</v>
      </c>
      <c r="F18" s="4" t="s">
        <v>2437</v>
      </c>
      <c r="G18" s="4" t="s">
        <v>2438</v>
      </c>
      <c r="H18" s="4" t="s">
        <v>2439</v>
      </c>
      <c r="I18" s="4" t="s">
        <v>2440</v>
      </c>
      <c r="J18" s="4" t="s">
        <v>2441</v>
      </c>
      <c r="K18" s="4" t="s">
        <v>2288</v>
      </c>
      <c r="L18" s="4" t="s">
        <v>2419</v>
      </c>
      <c r="M18" s="4" t="s">
        <v>2</v>
      </c>
    </row>
    <row r="19" customFormat="false" ht="15" hidden="false" customHeight="true" outlineLevel="0" collapsed="false">
      <c r="A19" s="5" t="n">
        <v>15</v>
      </c>
      <c r="B19" s="18" t="s">
        <v>4</v>
      </c>
      <c r="C19" s="4" t="s">
        <v>2442</v>
      </c>
      <c r="D19" s="4" t="s">
        <v>2443</v>
      </c>
      <c r="E19" s="4" t="s">
        <v>405</v>
      </c>
      <c r="F19" s="4" t="s">
        <v>2444</v>
      </c>
      <c r="G19" s="4" t="s">
        <v>115</v>
      </c>
      <c r="H19" s="4" t="s">
        <v>2445</v>
      </c>
      <c r="I19" s="4" t="s">
        <v>2446</v>
      </c>
      <c r="J19" s="4" t="s">
        <v>2447</v>
      </c>
      <c r="K19" s="4" t="s">
        <v>2298</v>
      </c>
      <c r="L19" s="4" t="s">
        <v>2448</v>
      </c>
      <c r="M19" s="4" t="s">
        <v>2</v>
      </c>
    </row>
    <row r="20" customFormat="false" ht="15" hidden="false" customHeight="true" outlineLevel="0" collapsed="false">
      <c r="A20" s="5" t="n">
        <v>16</v>
      </c>
      <c r="B20" s="1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5" hidden="false" customHeight="true" outlineLevel="0" collapsed="false">
      <c r="A21" s="5" t="n">
        <v>17</v>
      </c>
      <c r="B21" s="1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15" hidden="false" customHeight="true" outlineLevel="0" collapsed="false">
      <c r="A22" s="5" t="n">
        <v>18</v>
      </c>
      <c r="B22" s="1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5" hidden="false" customHeight="true" outlineLevel="0" collapsed="false">
      <c r="A23" s="5" t="n">
        <v>19</v>
      </c>
      <c r="B23" s="1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15" hidden="false" customHeight="true" outlineLevel="0" collapsed="false">
      <c r="A24" s="5" t="n">
        <v>20</v>
      </c>
      <c r="B24" s="1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5" hidden="false" customHeight="true" outlineLevel="0" collapsed="false">
      <c r="A25" s="5" t="n">
        <v>21</v>
      </c>
      <c r="B25" s="1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15" hidden="false" customHeight="true" outlineLevel="0" collapsed="false">
      <c r="A26" s="5" t="n">
        <v>22</v>
      </c>
      <c r="B26" s="1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15" hidden="false" customHeight="true" outlineLevel="0" collapsed="false">
      <c r="A27" s="5" t="n">
        <v>23</v>
      </c>
      <c r="B27" s="1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5" hidden="false" customHeight="true" outlineLevel="0" collapsed="false">
      <c r="A28" s="5" t="n">
        <v>24</v>
      </c>
      <c r="B28" s="1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15" hidden="false" customHeight="true" outlineLevel="0" collapsed="false">
      <c r="A29" s="5" t="n">
        <v>25</v>
      </c>
      <c r="B29" s="1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5" hidden="false" customHeight="true" outlineLevel="0" collapsed="false">
      <c r="A30" s="5" t="n">
        <v>26</v>
      </c>
      <c r="B30" s="1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5" hidden="false" customHeight="true" outlineLevel="0" collapsed="false">
      <c r="A31" s="5" t="n">
        <v>27</v>
      </c>
      <c r="B31" s="1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5" hidden="false" customHeight="true" outlineLevel="0" collapsed="false">
      <c r="A32" s="5" t="n">
        <v>28</v>
      </c>
      <c r="B32" s="1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15" hidden="false" customHeight="true" outlineLevel="0" collapsed="false">
      <c r="A33" s="5" t="n">
        <v>29</v>
      </c>
      <c r="B33" s="1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15" hidden="false" customHeight="true" outlineLevel="0" collapsed="false">
      <c r="A34" s="5" t="n">
        <v>30</v>
      </c>
      <c r="B34" s="1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15" hidden="false" customHeight="true" outlineLevel="0" collapsed="false">
      <c r="A35" s="5" t="n">
        <v>31</v>
      </c>
      <c r="B35" s="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15" hidden="false" customHeight="true" outlineLevel="0" collapsed="false">
      <c r="A36" s="5" t="n">
        <v>32</v>
      </c>
      <c r="B36" s="1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5" hidden="false" customHeight="true" outlineLevel="0" collapsed="false">
      <c r="A37" s="5" t="n">
        <v>33</v>
      </c>
      <c r="B37" s="1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5" hidden="false" customHeight="true" outlineLevel="0" collapsed="false">
      <c r="A38" s="5" t="n">
        <v>34</v>
      </c>
      <c r="B38" s="1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15" hidden="false" customHeight="true" outlineLevel="0" collapsed="false">
      <c r="A39" s="5" t="n">
        <v>35</v>
      </c>
      <c r="B39" s="1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Format="false" ht="15" hidden="false" customHeight="true" outlineLevel="0" collapsed="false">
      <c r="A40" s="5" t="n">
        <v>36</v>
      </c>
      <c r="B40" s="1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Format="false" ht="15" hidden="false" customHeight="true" outlineLevel="0" collapsed="false">
      <c r="A41" s="5" t="n">
        <v>37</v>
      </c>
      <c r="B41" s="1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15" hidden="false" customHeight="true" outlineLevel="0" collapsed="false">
      <c r="A42" s="5" t="n">
        <v>38</v>
      </c>
      <c r="B42" s="1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Format="false" ht="15" hidden="false" customHeight="true" outlineLevel="0" collapsed="false">
      <c r="A43" s="5" t="n">
        <v>39</v>
      </c>
      <c r="B43" s="1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Format="false" ht="15" hidden="false" customHeight="true" outlineLevel="0" collapsed="false">
      <c r="A44" s="5" t="n">
        <v>40</v>
      </c>
      <c r="B44" s="18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5" hidden="false" customHeight="true" outlineLevel="0" collapsed="false">
      <c r="A45" s="5" t="n">
        <v>41</v>
      </c>
      <c r="B45" s="1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Format="false" ht="15" hidden="false" customHeight="true" outlineLevel="0" collapsed="false">
      <c r="A46" s="5" t="n">
        <v>42</v>
      </c>
      <c r="B46" s="1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Format="false" ht="15" hidden="false" customHeight="true" outlineLevel="0" collapsed="false">
      <c r="A47" s="5" t="n">
        <v>43</v>
      </c>
      <c r="B47" s="1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15" hidden="false" customHeight="true" outlineLevel="0" collapsed="false">
      <c r="A48" s="5" t="n">
        <v>44</v>
      </c>
      <c r="B48" s="1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15" hidden="false" customHeight="true" outlineLevel="0" collapsed="false">
      <c r="A49" s="5" t="n">
        <v>45</v>
      </c>
      <c r="B49" s="1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5" hidden="false" customHeight="true" outlineLevel="0" collapsed="false">
      <c r="A50" s="5" t="n">
        <v>46</v>
      </c>
      <c r="B50" s="1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5" hidden="false" customHeight="true" outlineLevel="0" collapsed="false">
      <c r="A51" s="5" t="n">
        <v>47</v>
      </c>
      <c r="B51" s="1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15" hidden="false" customHeight="true" outlineLevel="0" collapsed="false">
      <c r="A52" s="5" t="n">
        <v>48</v>
      </c>
      <c r="B52" s="1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Format="false" ht="15" hidden="false" customHeight="true" outlineLevel="0" collapsed="false">
      <c r="A53" s="5" t="n">
        <v>49</v>
      </c>
      <c r="B53" s="1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Format="false" ht="15" hidden="false" customHeight="true" outlineLevel="0" collapsed="false">
      <c r="A54" s="5" t="n">
        <v>50</v>
      </c>
      <c r="B54" s="1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15" hidden="false" customHeight="true" outlineLevel="0" collapsed="false">
      <c r="A55" s="5" t="n">
        <v>51</v>
      </c>
      <c r="B55" s="1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Format="false" ht="15" hidden="false" customHeight="true" outlineLevel="0" collapsed="false">
      <c r="A56" s="5" t="n">
        <v>52</v>
      </c>
      <c r="B56" s="18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15" hidden="false" customHeight="true" outlineLevel="0" collapsed="false">
      <c r="A57" s="5" t="n">
        <v>53</v>
      </c>
      <c r="B57" s="1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Format="false" ht="15" hidden="false" customHeight="true" outlineLevel="0" collapsed="false">
      <c r="A58" s="5" t="n">
        <v>54</v>
      </c>
      <c r="B58" s="1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Format="false" ht="15" hidden="false" customHeight="true" outlineLevel="0" collapsed="false">
      <c r="A59" s="5" t="n">
        <v>55</v>
      </c>
      <c r="B59" s="1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B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30"/>
  </cols>
  <sheetData>
    <row r="1" customFormat="false" ht="18" hidden="false" customHeight="true" outlineLevel="0" collapsed="false">
      <c r="A1" s="2" t="s">
        <v>2449</v>
      </c>
    </row>
    <row r="3" customFormat="false" ht="31.5" hidden="false" customHeight="true" outlineLevel="0" collapsed="false">
      <c r="A3" s="16" t="s">
        <v>2450</v>
      </c>
      <c r="B3" s="16" t="s">
        <v>2451</v>
      </c>
    </row>
    <row r="4" customFormat="false" ht="15" hidden="false" customHeight="true" outlineLevel="0" collapsed="false">
      <c r="A4" s="17" t="s">
        <v>2452</v>
      </c>
      <c r="B4" s="5" t="s">
        <v>2453</v>
      </c>
    </row>
    <row r="5" customFormat="false" ht="15" hidden="false" customHeight="true" outlineLevel="0" collapsed="false">
      <c r="A5" s="17" t="s">
        <v>2454</v>
      </c>
      <c r="B5" s="5" t="s">
        <v>2455</v>
      </c>
    </row>
    <row r="6" customFormat="false" ht="15" hidden="false" customHeight="true" outlineLevel="0" collapsed="false">
      <c r="A6" s="17" t="s">
        <v>957</v>
      </c>
      <c r="B6" s="5" t="s">
        <v>2456</v>
      </c>
    </row>
    <row r="7" customFormat="false" ht="15" hidden="false" customHeight="true" outlineLevel="0" collapsed="false">
      <c r="A7" s="17" t="s">
        <v>2457</v>
      </c>
      <c r="B7" s="5" t="s">
        <v>2458</v>
      </c>
    </row>
    <row r="8" customFormat="false" ht="15" hidden="false" customHeight="true" outlineLevel="0" collapsed="false">
      <c r="A8" s="17" t="s">
        <v>2459</v>
      </c>
      <c r="B8" s="5" t="s">
        <v>2460</v>
      </c>
    </row>
    <row r="9" customFormat="false" ht="15" hidden="false" customHeight="true" outlineLevel="0" collapsed="false">
      <c r="A9" s="17" t="s">
        <v>2461</v>
      </c>
      <c r="B9" s="5" t="s">
        <v>2462</v>
      </c>
    </row>
    <row r="10" customFormat="false" ht="15" hidden="false" customHeight="true" outlineLevel="0" collapsed="false">
      <c r="A10" s="17" t="s">
        <v>2463</v>
      </c>
      <c r="B10" s="5" t="s">
        <v>2464</v>
      </c>
    </row>
    <row r="11" customFormat="false" ht="15" hidden="false" customHeight="true" outlineLevel="0" collapsed="false">
      <c r="A11" s="17" t="s">
        <v>2465</v>
      </c>
      <c r="B11" s="5" t="s">
        <v>2466</v>
      </c>
    </row>
    <row r="12" customFormat="false" ht="15" hidden="false" customHeight="true" outlineLevel="0" collapsed="false">
      <c r="A12" s="17" t="s">
        <v>2467</v>
      </c>
      <c r="B12" s="5" t="s">
        <v>2468</v>
      </c>
    </row>
    <row r="13" customFormat="false" ht="15" hidden="false" customHeight="true" outlineLevel="0" collapsed="false">
      <c r="A13" s="17" t="s">
        <v>2469</v>
      </c>
      <c r="B13" s="5" t="s">
        <v>2470</v>
      </c>
    </row>
    <row r="14" customFormat="false" ht="15" hidden="false" customHeight="true" outlineLevel="0" collapsed="false">
      <c r="A14" s="17" t="s">
        <v>2471</v>
      </c>
      <c r="B14" s="5" t="s">
        <v>2472</v>
      </c>
    </row>
    <row r="15" customFormat="false" ht="15" hidden="false" customHeight="true" outlineLevel="0" collapsed="false">
      <c r="A15" s="17" t="s">
        <v>2473</v>
      </c>
      <c r="B15" s="5" t="s">
        <v>2474</v>
      </c>
    </row>
    <row r="16" customFormat="false" ht="15" hidden="false" customHeight="true" outlineLevel="0" collapsed="false">
      <c r="A16" s="17" t="s">
        <v>2475</v>
      </c>
      <c r="B16" s="5" t="s">
        <v>2476</v>
      </c>
    </row>
    <row r="17" customFormat="false" ht="23.25" hidden="false" customHeight="true" outlineLevel="0" collapsed="false">
      <c r="A17" s="17" t="s">
        <v>2477</v>
      </c>
      <c r="B17" s="5" t="s">
        <v>2478</v>
      </c>
    </row>
    <row r="18" customFormat="false" ht="15" hidden="false" customHeight="true" outlineLevel="0" collapsed="false">
      <c r="A18" s="17" t="s">
        <v>2479</v>
      </c>
      <c r="B18" s="5" t="s">
        <v>2480</v>
      </c>
    </row>
    <row r="19" customFormat="false" ht="15" hidden="false" customHeight="true" outlineLevel="0" collapsed="false">
      <c r="A19" s="17" t="s">
        <v>2481</v>
      </c>
      <c r="B19" s="5" t="s">
        <v>2482</v>
      </c>
    </row>
    <row r="20" customFormat="false" ht="23.25" hidden="false" customHeight="true" outlineLevel="0" collapsed="false">
      <c r="A20" s="17" t="s">
        <v>2483</v>
      </c>
      <c r="B20" s="5" t="s">
        <v>2484</v>
      </c>
    </row>
    <row r="21" customFormat="false" ht="23.25" hidden="false" customHeight="true" outlineLevel="0" collapsed="false">
      <c r="A21" s="17" t="s">
        <v>2485</v>
      </c>
      <c r="B21" s="5" t="s">
        <v>2486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8"/>
  </cols>
  <sheetData>
    <row r="1" customFormat="false" ht="15" hidden="false" customHeight="true" outlineLevel="0" collapsed="false">
      <c r="A1" s="14" t="s">
        <v>71</v>
      </c>
      <c r="B1" s="14" t="s">
        <v>389</v>
      </c>
      <c r="C1" s="14" t="s">
        <v>310</v>
      </c>
      <c r="D1" s="14" t="s">
        <v>2487</v>
      </c>
      <c r="E1" s="14" t="s">
        <v>2488</v>
      </c>
      <c r="F1" s="14" t="s">
        <v>1393</v>
      </c>
      <c r="G1" s="14" t="s">
        <v>2489</v>
      </c>
      <c r="H1" s="14" t="s">
        <v>2490</v>
      </c>
      <c r="I1" s="14" t="s">
        <v>2491</v>
      </c>
      <c r="J1" s="14" t="s">
        <v>67</v>
      </c>
      <c r="K1" s="14" t="s">
        <v>2492</v>
      </c>
    </row>
    <row r="2" customFormat="false" ht="15" hidden="false" customHeight="true" outlineLevel="0" collapsed="false">
      <c r="A2" s="22" t="s">
        <v>34</v>
      </c>
      <c r="B2" s="22" t="s">
        <v>404</v>
      </c>
      <c r="C2" s="22" t="s">
        <v>185</v>
      </c>
      <c r="D2" s="22" t="s">
        <v>103</v>
      </c>
      <c r="E2" s="22" t="s">
        <v>1943</v>
      </c>
      <c r="F2" s="22" t="s">
        <v>2022</v>
      </c>
      <c r="G2" s="22" t="s">
        <v>55</v>
      </c>
      <c r="H2" s="22" t="s">
        <v>1943</v>
      </c>
      <c r="I2" s="22" t="s">
        <v>1943</v>
      </c>
      <c r="J2" s="22" t="s">
        <v>195</v>
      </c>
      <c r="K2" s="22" t="s">
        <v>177</v>
      </c>
    </row>
    <row r="3" customFormat="false" ht="15" hidden="false" customHeight="true" outlineLevel="0" collapsed="false">
      <c r="A3" s="22" t="s">
        <v>31</v>
      </c>
      <c r="B3" s="22" t="s">
        <v>514</v>
      </c>
      <c r="C3" s="22" t="s">
        <v>186</v>
      </c>
      <c r="D3" s="22" t="s">
        <v>177</v>
      </c>
      <c r="E3" s="22" t="s">
        <v>2025</v>
      </c>
      <c r="F3" s="22" t="s">
        <v>1954</v>
      </c>
      <c r="G3" s="22" t="s">
        <v>53</v>
      </c>
      <c r="H3" s="22" t="s">
        <v>2493</v>
      </c>
      <c r="I3" s="22" t="s">
        <v>2494</v>
      </c>
      <c r="J3" s="22" t="s">
        <v>201</v>
      </c>
      <c r="K3" s="22" t="s">
        <v>103</v>
      </c>
    </row>
    <row r="4" customFormat="false" ht="15" hidden="false" customHeight="true" outlineLevel="0" collapsed="false">
      <c r="A4" s="22" t="s">
        <v>32</v>
      </c>
      <c r="B4" s="22" t="s">
        <v>495</v>
      </c>
      <c r="C4" s="22" t="s">
        <v>187</v>
      </c>
      <c r="F4" s="22" t="s">
        <v>2068</v>
      </c>
      <c r="G4" s="22" t="s">
        <v>54</v>
      </c>
      <c r="H4" s="22" t="s">
        <v>2495</v>
      </c>
      <c r="I4" s="22" t="s">
        <v>2496</v>
      </c>
      <c r="J4" s="22" t="s">
        <v>206</v>
      </c>
    </row>
    <row r="5" customFormat="false" ht="15" hidden="false" customHeight="true" outlineLevel="0" collapsed="false">
      <c r="A5" s="22" t="s">
        <v>33</v>
      </c>
      <c r="I5" s="22" t="s">
        <v>2497</v>
      </c>
      <c r="J5" s="22" t="s">
        <v>212</v>
      </c>
    </row>
    <row r="6" customFormat="false" ht="15" hidden="false" customHeight="true" outlineLevel="0" collapsed="false">
      <c r="A6" s="22" t="s">
        <v>30</v>
      </c>
      <c r="J6" s="22" t="s">
        <v>214</v>
      </c>
    </row>
    <row r="7" customFormat="false" ht="15" hidden="false" customHeight="true" outlineLevel="0" collapsed="false">
      <c r="A7" s="22" t="s">
        <v>35</v>
      </c>
      <c r="J7" s="22" t="s">
        <v>216</v>
      </c>
    </row>
    <row r="8" customFormat="false" ht="15" hidden="false" customHeight="true" outlineLevel="0" collapsed="false">
      <c r="J8" s="22" t="s">
        <v>218</v>
      </c>
    </row>
    <row r="9" customFormat="false" ht="15" hidden="false" customHeight="true" outlineLevel="0" collapsed="false">
      <c r="J9" s="22" t="s">
        <v>220</v>
      </c>
    </row>
    <row r="10" customFormat="false" ht="15" hidden="false" customHeight="true" outlineLevel="0" collapsed="false">
      <c r="J10" s="22" t="s">
        <v>222</v>
      </c>
    </row>
    <row r="11" customFormat="false" ht="15" hidden="false" customHeight="true" outlineLevel="0" collapsed="false">
      <c r="J11" s="22" t="s">
        <v>224</v>
      </c>
    </row>
    <row r="12" customFormat="false" ht="15" hidden="false" customHeight="true" outlineLevel="0" collapsed="false">
      <c r="A12" s="7" t="s">
        <v>2498</v>
      </c>
      <c r="J12" s="22" t="s">
        <v>226</v>
      </c>
    </row>
    <row r="13" customFormat="false" ht="15" hidden="false" customHeight="true" outlineLevel="0" collapsed="false">
      <c r="J13" s="22" t="s">
        <v>228</v>
      </c>
    </row>
    <row r="14" customFormat="false" ht="15" hidden="false" customHeight="true" outlineLevel="0" collapsed="false">
      <c r="J14" s="22" t="s">
        <v>230</v>
      </c>
    </row>
    <row r="15" customFormat="false" ht="15" hidden="false" customHeight="true" outlineLevel="0" collapsed="false">
      <c r="J15" s="22" t="s">
        <v>232</v>
      </c>
    </row>
    <row r="16" customFormat="false" ht="15" hidden="false" customHeight="true" outlineLevel="0" collapsed="false">
      <c r="J16" s="22" t="s">
        <v>234</v>
      </c>
    </row>
    <row r="17" customFormat="false" ht="15" hidden="false" customHeight="true" outlineLevel="0" collapsed="false">
      <c r="J17" s="22" t="s">
        <v>236</v>
      </c>
    </row>
    <row r="18" customFormat="false" ht="15" hidden="false" customHeight="true" outlineLevel="0" collapsed="false">
      <c r="J18" s="22" t="s">
        <v>238</v>
      </c>
    </row>
    <row r="19" customFormat="false" ht="15" hidden="false" customHeight="true" outlineLevel="0" collapsed="false">
      <c r="J19" s="22" t="s">
        <v>243</v>
      </c>
    </row>
    <row r="20" customFormat="false" ht="15" hidden="false" customHeight="true" outlineLevel="0" collapsed="false">
      <c r="J20" s="22" t="s">
        <v>245</v>
      </c>
    </row>
    <row r="21" customFormat="false" ht="15" hidden="false" customHeight="true" outlineLevel="0" collapsed="false">
      <c r="J21" s="22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2026-10-06T07:03:17Z</dcterms:created>
  <dc:creator>openpyxl</dc:creator>
  <dc:description/>
  <dc:language>en-US</dc:language>
  <cp:lastModifiedBy/>
  <dcterms:modified xsi:type="dcterms:W3CDTF">2026-10-09T02:12:54Z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